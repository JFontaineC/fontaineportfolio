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ckup File\ITB\Semester 5\Pasar Modal\Lat soal UTS\"/>
    </mc:Choice>
  </mc:AlternateContent>
  <xr:revisionPtr revIDLastSave="0" documentId="13_ncr:1_{8364DFE2-09CE-477C-A0ED-7E0A223545ED}" xr6:coauthVersionLast="47" xr6:coauthVersionMax="47" xr10:uidLastSave="{00000000-0000-0000-0000-000000000000}"/>
  <bookViews>
    <workbookView xWindow="-108" yWindow="-108" windowWidth="23256" windowHeight="14616" xr2:uid="{D7DFB1CD-9A80-431E-ACEB-3147637164C0}"/>
  </bookViews>
  <sheets>
    <sheet name="Apple" sheetId="7" r:id="rId1"/>
    <sheet name="Tesla" sheetId="8" r:id="rId2"/>
    <sheet name="Nike" sheetId="3" r:id="rId3"/>
    <sheet name="Walmart" sheetId="5" r:id="rId4"/>
    <sheet name="Exxon" sheetId="9" r:id="rId5"/>
    <sheet name="Portfolio" sheetId="1" r:id="rId6"/>
    <sheet name="MVF" sheetId="10" r:id="rId7"/>
    <sheet name="CAL CML SML" sheetId="12" r:id="rId8"/>
  </sheets>
  <definedNames>
    <definedName name="ExternalData_1" localSheetId="0" hidden="1">Apple!$A$1:$B$106</definedName>
    <definedName name="ExternalData_1" localSheetId="2" hidden="1">Nike!$A$1:$B$106</definedName>
    <definedName name="ExternalData_1" localSheetId="3" hidden="1">Walmart!$A$1:$B$106</definedName>
    <definedName name="ExternalData_2" localSheetId="1" hidden="1">Tesla!$A$1:$B$106</definedName>
    <definedName name="ExternalData_3" localSheetId="4" hidden="1">Exxon!$A$1:$B$106</definedName>
    <definedName name="solver_adj" localSheetId="6" hidden="1">MVF!$M$22:$M$26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MVF!$M$27</definedName>
    <definedName name="solver_lhs2" localSheetId="6" hidden="1">MVF!$M$30</definedName>
    <definedName name="solver_lhs3" localSheetId="6" hidden="1">MVF!$M$34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MVF!$M$29</definedName>
    <definedName name="solver_pre" localSheetId="6" hidden="1">0.000001</definedName>
    <definedName name="solver_rbv" localSheetId="6" hidden="1">1</definedName>
    <definedName name="solver_rel1" localSheetId="6" hidden="1">2</definedName>
    <definedName name="solver_rel2" localSheetId="6" hidden="1">2</definedName>
    <definedName name="solver_rel3" localSheetId="6" hidden="1">3</definedName>
    <definedName name="solver_rhs1" localSheetId="6" hidden="1">1</definedName>
    <definedName name="solver_rhs2" localSheetId="6" hidden="1">0.0018</definedName>
    <definedName name="solver_rhs3" localSheetId="6" hidden="1">0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0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2" l="1"/>
  <c r="B72" i="12"/>
  <c r="B73" i="12"/>
  <c r="B74" i="12"/>
  <c r="B70" i="12"/>
  <c r="B45" i="12"/>
  <c r="B46" i="12"/>
  <c r="B47" i="12"/>
  <c r="B48" i="12"/>
  <c r="B49" i="12"/>
  <c r="B44" i="12"/>
  <c r="B22" i="12"/>
  <c r="B23" i="12"/>
  <c r="B20" i="12"/>
  <c r="B21" i="12"/>
  <c r="B19" i="12"/>
  <c r="C12" i="12"/>
  <c r="C37" i="12"/>
  <c r="C36" i="12"/>
  <c r="B2" i="12"/>
  <c r="M30" i="10"/>
  <c r="P3" i="10"/>
  <c r="R44" i="10"/>
  <c r="G44" i="10" s="1"/>
  <c r="S44" i="10"/>
  <c r="R45" i="10"/>
  <c r="S45" i="10"/>
  <c r="R46" i="10"/>
  <c r="S46" i="10"/>
  <c r="R47" i="10"/>
  <c r="S47" i="10"/>
  <c r="R48" i="10"/>
  <c r="S48" i="10"/>
  <c r="R49" i="10"/>
  <c r="G49" i="10" s="1"/>
  <c r="S49" i="10"/>
  <c r="R50" i="10"/>
  <c r="G50" i="10" s="1"/>
  <c r="S50" i="10"/>
  <c r="R51" i="10"/>
  <c r="G51" i="10" s="1"/>
  <c r="S51" i="10"/>
  <c r="R52" i="10"/>
  <c r="G52" i="10" s="1"/>
  <c r="S52" i="10"/>
  <c r="R53" i="10"/>
  <c r="S53" i="10"/>
  <c r="R54" i="10"/>
  <c r="S54" i="10"/>
  <c r="R55" i="10"/>
  <c r="S55" i="10"/>
  <c r="R56" i="10"/>
  <c r="S56" i="10"/>
  <c r="R57" i="10"/>
  <c r="G57" i="10" s="1"/>
  <c r="S57" i="10"/>
  <c r="R58" i="10"/>
  <c r="G58" i="10" s="1"/>
  <c r="S58" i="10"/>
  <c r="R59" i="10"/>
  <c r="G59" i="10" s="1"/>
  <c r="S59" i="10"/>
  <c r="R60" i="10"/>
  <c r="G60" i="10" s="1"/>
  <c r="S60" i="10"/>
  <c r="R61" i="10"/>
  <c r="S61" i="10"/>
  <c r="R62" i="10"/>
  <c r="S62" i="10"/>
  <c r="R63" i="10"/>
  <c r="S63" i="10"/>
  <c r="R64" i="10"/>
  <c r="S64" i="10"/>
  <c r="R65" i="10"/>
  <c r="G65" i="10" s="1"/>
  <c r="S65" i="10"/>
  <c r="R66" i="10"/>
  <c r="G66" i="10" s="1"/>
  <c r="S66" i="10"/>
  <c r="R67" i="10"/>
  <c r="G67" i="10" s="1"/>
  <c r="S67" i="10"/>
  <c r="R68" i="10"/>
  <c r="G68" i="10" s="1"/>
  <c r="S68" i="10"/>
  <c r="R69" i="10"/>
  <c r="S69" i="10"/>
  <c r="R70" i="10"/>
  <c r="S70" i="10"/>
  <c r="R71" i="10"/>
  <c r="S71" i="10"/>
  <c r="R72" i="10"/>
  <c r="S72" i="10"/>
  <c r="R73" i="10"/>
  <c r="G73" i="10" s="1"/>
  <c r="S73" i="10"/>
  <c r="R74" i="10"/>
  <c r="G74" i="10" s="1"/>
  <c r="S74" i="10"/>
  <c r="R75" i="10"/>
  <c r="G75" i="10" s="1"/>
  <c r="S75" i="10"/>
  <c r="R76" i="10"/>
  <c r="G76" i="10" s="1"/>
  <c r="S76" i="10"/>
  <c r="R77" i="10"/>
  <c r="S77" i="10"/>
  <c r="R78" i="10"/>
  <c r="S78" i="10"/>
  <c r="R79" i="10"/>
  <c r="S79" i="10"/>
  <c r="R80" i="10"/>
  <c r="S80" i="10"/>
  <c r="R81" i="10"/>
  <c r="G81" i="10" s="1"/>
  <c r="S81" i="10"/>
  <c r="R82" i="10"/>
  <c r="G82" i="10" s="1"/>
  <c r="S82" i="10"/>
  <c r="R83" i="10"/>
  <c r="G83" i="10" s="1"/>
  <c r="S83" i="10"/>
  <c r="R84" i="10"/>
  <c r="G84" i="10" s="1"/>
  <c r="S84" i="10"/>
  <c r="R85" i="10"/>
  <c r="S85" i="10"/>
  <c r="R86" i="10"/>
  <c r="S86" i="10"/>
  <c r="R87" i="10"/>
  <c r="S87" i="10"/>
  <c r="R88" i="10"/>
  <c r="S88" i="10"/>
  <c r="R89" i="10"/>
  <c r="G89" i="10" s="1"/>
  <c r="S89" i="10"/>
  <c r="R90" i="10"/>
  <c r="G90" i="10" s="1"/>
  <c r="S90" i="10"/>
  <c r="R91" i="10"/>
  <c r="G91" i="10" s="1"/>
  <c r="S91" i="10"/>
  <c r="R92" i="10"/>
  <c r="G92" i="10" s="1"/>
  <c r="S92" i="10"/>
  <c r="R93" i="10"/>
  <c r="S93" i="10"/>
  <c r="R94" i="10"/>
  <c r="S94" i="10"/>
  <c r="R95" i="10"/>
  <c r="S95" i="10"/>
  <c r="R96" i="10"/>
  <c r="S96" i="10"/>
  <c r="R97" i="10"/>
  <c r="G97" i="10" s="1"/>
  <c r="S97" i="10"/>
  <c r="R98" i="10"/>
  <c r="G98" i="10" s="1"/>
  <c r="S98" i="10"/>
  <c r="R99" i="10"/>
  <c r="G99" i="10" s="1"/>
  <c r="S99" i="10"/>
  <c r="R100" i="10"/>
  <c r="G100" i="10" s="1"/>
  <c r="S100" i="10"/>
  <c r="R101" i="10"/>
  <c r="S101" i="10"/>
  <c r="R102" i="10"/>
  <c r="S102" i="10"/>
  <c r="R103" i="10"/>
  <c r="S103" i="10"/>
  <c r="H44" i="10"/>
  <c r="G45" i="10"/>
  <c r="H45" i="10"/>
  <c r="G46" i="10"/>
  <c r="H46" i="10"/>
  <c r="G47" i="10"/>
  <c r="H47" i="10"/>
  <c r="G48" i="10"/>
  <c r="H48" i="10"/>
  <c r="H49" i="10"/>
  <c r="H50" i="10"/>
  <c r="H51" i="10"/>
  <c r="H52" i="10"/>
  <c r="G53" i="10"/>
  <c r="H53" i="10"/>
  <c r="G54" i="10"/>
  <c r="H54" i="10"/>
  <c r="G55" i="10"/>
  <c r="H55" i="10"/>
  <c r="G56" i="10"/>
  <c r="H56" i="10"/>
  <c r="H57" i="10"/>
  <c r="H58" i="10"/>
  <c r="H59" i="10"/>
  <c r="H60" i="10"/>
  <c r="G61" i="10"/>
  <c r="H61" i="10"/>
  <c r="G62" i="10"/>
  <c r="H62" i="10"/>
  <c r="G63" i="10"/>
  <c r="H63" i="10"/>
  <c r="G64" i="10"/>
  <c r="H64" i="10"/>
  <c r="H65" i="10"/>
  <c r="H66" i="10"/>
  <c r="H67" i="10"/>
  <c r="H68" i="10"/>
  <c r="G69" i="10"/>
  <c r="H69" i="10"/>
  <c r="G70" i="10"/>
  <c r="H70" i="10"/>
  <c r="G71" i="10"/>
  <c r="H71" i="10"/>
  <c r="G72" i="10"/>
  <c r="H72" i="10"/>
  <c r="H73" i="10"/>
  <c r="H74" i="10"/>
  <c r="H75" i="10"/>
  <c r="H76" i="10"/>
  <c r="G77" i="10"/>
  <c r="H77" i="10"/>
  <c r="G78" i="10"/>
  <c r="H78" i="10"/>
  <c r="G79" i="10"/>
  <c r="H79" i="10"/>
  <c r="G80" i="10"/>
  <c r="H80" i="10"/>
  <c r="H81" i="10"/>
  <c r="H82" i="10"/>
  <c r="H83" i="10"/>
  <c r="H84" i="10"/>
  <c r="G85" i="10"/>
  <c r="H85" i="10"/>
  <c r="G86" i="10"/>
  <c r="H86" i="10"/>
  <c r="G87" i="10"/>
  <c r="H87" i="10"/>
  <c r="G88" i="10"/>
  <c r="H88" i="10"/>
  <c r="H89" i="10"/>
  <c r="H90" i="10"/>
  <c r="H91" i="10"/>
  <c r="H92" i="10"/>
  <c r="G93" i="10"/>
  <c r="H93" i="10"/>
  <c r="G94" i="10"/>
  <c r="H94" i="10"/>
  <c r="G95" i="10"/>
  <c r="H95" i="10"/>
  <c r="G96" i="10"/>
  <c r="H96" i="10"/>
  <c r="H97" i="10"/>
  <c r="H98" i="10"/>
  <c r="H99" i="10"/>
  <c r="H100" i="10"/>
  <c r="G101" i="10"/>
  <c r="H101" i="10"/>
  <c r="G102" i="10"/>
  <c r="H102" i="10"/>
  <c r="G103" i="10"/>
  <c r="H103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B62" i="12" l="1"/>
  <c r="C63" i="12" s="1"/>
  <c r="B11" i="12"/>
  <c r="H42" i="10" l="1"/>
  <c r="H4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3" i="10"/>
  <c r="H3" i="10"/>
  <c r="S3" i="10"/>
  <c r="Q12" i="10"/>
  <c r="Q11" i="10"/>
  <c r="Q10" i="10"/>
  <c r="Q9" i="10"/>
  <c r="Q8" i="10"/>
  <c r="Q7" i="10"/>
  <c r="Q6" i="10"/>
  <c r="Q5" i="10"/>
  <c r="Q4" i="10"/>
  <c r="Q3" i="10"/>
  <c r="P7" i="10"/>
  <c r="P4" i="10"/>
  <c r="P6" i="10"/>
  <c r="M27" i="10"/>
  <c r="R39" i="10"/>
  <c r="R4" i="10"/>
  <c r="R19" i="10"/>
  <c r="R20" i="10"/>
  <c r="R35" i="10"/>
  <c r="R36" i="10"/>
  <c r="H9" i="10"/>
  <c r="H10" i="10"/>
  <c r="H11" i="10"/>
  <c r="H12" i="10"/>
  <c r="H18" i="10"/>
  <c r="H25" i="10"/>
  <c r="H26" i="10"/>
  <c r="H27" i="10"/>
  <c r="H28" i="10"/>
  <c r="H34" i="10"/>
  <c r="H41" i="10"/>
  <c r="N7" i="10"/>
  <c r="N6" i="10"/>
  <c r="N5" i="10"/>
  <c r="N4" i="10"/>
  <c r="N3" i="10"/>
  <c r="H19" i="10" s="1"/>
  <c r="K17" i="10"/>
  <c r="K16" i="10"/>
  <c r="K15" i="10"/>
  <c r="P5" i="10" s="1"/>
  <c r="K14" i="10"/>
  <c r="R13" i="10" s="1"/>
  <c r="K13" i="10"/>
  <c r="R11" i="10" s="1"/>
  <c r="K12" i="10"/>
  <c r="K11" i="10"/>
  <c r="K10" i="10"/>
  <c r="K8" i="10"/>
  <c r="K9" i="10"/>
  <c r="K7" i="10"/>
  <c r="S19" i="10" s="1"/>
  <c r="K4" i="10"/>
  <c r="K5" i="10"/>
  <c r="K6" i="10"/>
  <c r="K3" i="10"/>
  <c r="S33" i="10" s="1"/>
  <c r="A34" i="10"/>
  <c r="A35" i="10"/>
  <c r="A36" i="10"/>
  <c r="A37" i="10"/>
  <c r="A38" i="10"/>
  <c r="A39" i="10"/>
  <c r="A40" i="10"/>
  <c r="A41" i="10"/>
  <c r="A42" i="10"/>
  <c r="A43" i="10"/>
  <c r="A44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" i="10"/>
  <c r="B41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C35" i="1"/>
  <c r="D35" i="1"/>
  <c r="E35" i="1"/>
  <c r="F35" i="1"/>
  <c r="B35" i="1"/>
  <c r="B32" i="1"/>
  <c r="F32" i="1"/>
  <c r="E32" i="1"/>
  <c r="D32" i="1"/>
  <c r="C32" i="1"/>
  <c r="D28" i="1"/>
  <c r="E29" i="1"/>
  <c r="F28" i="1"/>
  <c r="D29" i="1"/>
  <c r="F27" i="1"/>
  <c r="C29" i="1"/>
  <c r="F26" i="1"/>
  <c r="C28" i="1"/>
  <c r="E26" i="1"/>
  <c r="E27" i="1"/>
  <c r="C27" i="1"/>
  <c r="D26" i="1"/>
  <c r="B29" i="1"/>
  <c r="F25" i="1"/>
  <c r="B28" i="1"/>
  <c r="E25" i="1"/>
  <c r="B27" i="1"/>
  <c r="D25" i="1"/>
  <c r="B26" i="1"/>
  <c r="C25" i="1"/>
  <c r="B20" i="1"/>
  <c r="C19" i="1"/>
  <c r="D19" i="1"/>
  <c r="E19" i="1"/>
  <c r="F19" i="1"/>
  <c r="B19" i="1"/>
  <c r="F16" i="1"/>
  <c r="E16" i="1"/>
  <c r="D16" i="1"/>
  <c r="C16" i="1"/>
  <c r="B16" i="1"/>
  <c r="F15" i="1"/>
  <c r="E15" i="1"/>
  <c r="D15" i="1"/>
  <c r="C15" i="1"/>
  <c r="B15" i="1"/>
  <c r="R43" i="10" l="1"/>
  <c r="R26" i="10"/>
  <c r="R10" i="10"/>
  <c r="S29" i="10"/>
  <c r="S13" i="10"/>
  <c r="S32" i="10"/>
  <c r="H33" i="10"/>
  <c r="H17" i="10"/>
  <c r="R42" i="10"/>
  <c r="R25" i="10"/>
  <c r="R9" i="10"/>
  <c r="S28" i="10"/>
  <c r="S11" i="10"/>
  <c r="H32" i="10"/>
  <c r="H16" i="10"/>
  <c r="R41" i="10"/>
  <c r="R24" i="10"/>
  <c r="R8" i="10"/>
  <c r="S27" i="10"/>
  <c r="S10" i="10"/>
  <c r="H31" i="10"/>
  <c r="H15" i="10"/>
  <c r="R40" i="10"/>
  <c r="R23" i="10"/>
  <c r="R7" i="10"/>
  <c r="S26" i="10"/>
  <c r="S9" i="10"/>
  <c r="H30" i="10"/>
  <c r="H14" i="10"/>
  <c r="R38" i="10"/>
  <c r="R22" i="10"/>
  <c r="R6" i="10"/>
  <c r="S25" i="10"/>
  <c r="S12" i="10"/>
  <c r="H29" i="10"/>
  <c r="H13" i="10"/>
  <c r="R37" i="10"/>
  <c r="R21" i="10"/>
  <c r="R5" i="10"/>
  <c r="S24" i="10"/>
  <c r="S43" i="10"/>
  <c r="S41" i="10"/>
  <c r="R34" i="10"/>
  <c r="H40" i="10"/>
  <c r="S42" i="10"/>
  <c r="R18" i="10"/>
  <c r="S20" i="10"/>
  <c r="H8" i="10"/>
  <c r="S7" i="10"/>
  <c r="R31" i="10"/>
  <c r="S18" i="10"/>
  <c r="M29" i="10"/>
  <c r="H38" i="10"/>
  <c r="H22" i="10"/>
  <c r="H6" i="10"/>
  <c r="R30" i="10"/>
  <c r="R14" i="10"/>
  <c r="S5" i="10"/>
  <c r="S17" i="10"/>
  <c r="S36" i="10"/>
  <c r="S23" i="10"/>
  <c r="S22" i="10"/>
  <c r="S21" i="10"/>
  <c r="R17" i="10"/>
  <c r="S38" i="10"/>
  <c r="H39" i="10"/>
  <c r="S40" i="10"/>
  <c r="R33" i="10"/>
  <c r="S8" i="10"/>
  <c r="S39" i="10"/>
  <c r="H24" i="10"/>
  <c r="R32" i="10"/>
  <c r="R16" i="10"/>
  <c r="H23" i="10"/>
  <c r="H7" i="10"/>
  <c r="R15" i="10"/>
  <c r="S6" i="10"/>
  <c r="S37" i="10"/>
  <c r="H37" i="10"/>
  <c r="H21" i="10"/>
  <c r="H5" i="10"/>
  <c r="R29" i="10"/>
  <c r="S4" i="10"/>
  <c r="S16" i="10"/>
  <c r="S35" i="10"/>
  <c r="H36" i="10"/>
  <c r="H20" i="10"/>
  <c r="H4" i="10"/>
  <c r="R28" i="10"/>
  <c r="R12" i="10"/>
  <c r="S31" i="10"/>
  <c r="S15" i="10"/>
  <c r="S34" i="10"/>
  <c r="H35" i="10"/>
  <c r="R3" i="10"/>
  <c r="R27" i="10"/>
  <c r="S30" i="10"/>
  <c r="S14" i="10"/>
  <c r="C110" i="9" l="1"/>
  <c r="C109" i="9"/>
  <c r="D108" i="9"/>
  <c r="C107" i="9"/>
  <c r="C110" i="5"/>
  <c r="C109" i="5"/>
  <c r="D108" i="5"/>
  <c r="C107" i="5"/>
  <c r="C110" i="3"/>
  <c r="C109" i="3"/>
  <c r="D108" i="3"/>
  <c r="C107" i="3"/>
  <c r="C110" i="8"/>
  <c r="C109" i="8"/>
  <c r="D108" i="8"/>
  <c r="C107" i="8"/>
  <c r="C110" i="7"/>
  <c r="C109" i="7"/>
  <c r="D108" i="7"/>
  <c r="C107" i="7"/>
  <c r="D106" i="9"/>
  <c r="C106" i="9"/>
  <c r="C105" i="9"/>
  <c r="D105" i="9" s="1"/>
  <c r="C104" i="9"/>
  <c r="D104" i="9" s="1"/>
  <c r="C103" i="9"/>
  <c r="D103" i="9" s="1"/>
  <c r="C102" i="9"/>
  <c r="D102" i="9" s="1"/>
  <c r="C101" i="9"/>
  <c r="D101" i="9" s="1"/>
  <c r="C100" i="9"/>
  <c r="D100" i="9" s="1"/>
  <c r="C99" i="9"/>
  <c r="D99" i="9" s="1"/>
  <c r="D98" i="9"/>
  <c r="C98" i="9"/>
  <c r="C97" i="9"/>
  <c r="D97" i="9" s="1"/>
  <c r="C96" i="9"/>
  <c r="D96" i="9" s="1"/>
  <c r="C95" i="9"/>
  <c r="D95" i="9" s="1"/>
  <c r="C94" i="9"/>
  <c r="D94" i="9" s="1"/>
  <c r="C93" i="9"/>
  <c r="D93" i="9" s="1"/>
  <c r="C92" i="9"/>
  <c r="D92" i="9" s="1"/>
  <c r="C91" i="9"/>
  <c r="D91" i="9" s="1"/>
  <c r="D90" i="9"/>
  <c r="C90" i="9"/>
  <c r="C89" i="9"/>
  <c r="D89" i="9" s="1"/>
  <c r="C88" i="9"/>
  <c r="D88" i="9" s="1"/>
  <c r="C87" i="9"/>
  <c r="D87" i="9" s="1"/>
  <c r="C86" i="9"/>
  <c r="D86" i="9" s="1"/>
  <c r="C85" i="9"/>
  <c r="D85" i="9" s="1"/>
  <c r="C84" i="9"/>
  <c r="D84" i="9" s="1"/>
  <c r="C83" i="9"/>
  <c r="D83" i="9" s="1"/>
  <c r="D82" i="9"/>
  <c r="C82" i="9"/>
  <c r="C81" i="9"/>
  <c r="D81" i="9" s="1"/>
  <c r="C80" i="9"/>
  <c r="D80" i="9" s="1"/>
  <c r="C79" i="9"/>
  <c r="D79" i="9" s="1"/>
  <c r="C78" i="9"/>
  <c r="D78" i="9" s="1"/>
  <c r="C77" i="9"/>
  <c r="D77" i="9" s="1"/>
  <c r="C76" i="9"/>
  <c r="D76" i="9" s="1"/>
  <c r="C75" i="9"/>
  <c r="D75" i="9" s="1"/>
  <c r="D74" i="9"/>
  <c r="C74" i="9"/>
  <c r="C73" i="9"/>
  <c r="D73" i="9" s="1"/>
  <c r="C72" i="9"/>
  <c r="D72" i="9" s="1"/>
  <c r="C71" i="9"/>
  <c r="D71" i="9" s="1"/>
  <c r="C70" i="9"/>
  <c r="D70" i="9" s="1"/>
  <c r="C69" i="9"/>
  <c r="D69" i="9" s="1"/>
  <c r="C68" i="9"/>
  <c r="D68" i="9" s="1"/>
  <c r="C67" i="9"/>
  <c r="D67" i="9" s="1"/>
  <c r="D66" i="9"/>
  <c r="C66" i="9"/>
  <c r="C65" i="9"/>
  <c r="D65" i="9" s="1"/>
  <c r="C64" i="9"/>
  <c r="D64" i="9" s="1"/>
  <c r="C63" i="9"/>
  <c r="D63" i="9" s="1"/>
  <c r="C62" i="9"/>
  <c r="D62" i="9" s="1"/>
  <c r="C61" i="9"/>
  <c r="D61" i="9" s="1"/>
  <c r="C60" i="9"/>
  <c r="D60" i="9" s="1"/>
  <c r="C59" i="9"/>
  <c r="D59" i="9" s="1"/>
  <c r="D58" i="9"/>
  <c r="C58" i="9"/>
  <c r="C57" i="9"/>
  <c r="D57" i="9" s="1"/>
  <c r="C56" i="9"/>
  <c r="D56" i="9" s="1"/>
  <c r="C55" i="9"/>
  <c r="D55" i="9" s="1"/>
  <c r="C54" i="9"/>
  <c r="D54" i="9" s="1"/>
  <c r="C53" i="9"/>
  <c r="D53" i="9" s="1"/>
  <c r="C52" i="9"/>
  <c r="D52" i="9" s="1"/>
  <c r="C51" i="9"/>
  <c r="D51" i="9" s="1"/>
  <c r="D50" i="9"/>
  <c r="C50" i="9"/>
  <c r="C49" i="9"/>
  <c r="D49" i="9" s="1"/>
  <c r="C48" i="9"/>
  <c r="D48" i="9" s="1"/>
  <c r="C47" i="9"/>
  <c r="D47" i="9" s="1"/>
  <c r="C46" i="9"/>
  <c r="D46" i="9" s="1"/>
  <c r="C45" i="9"/>
  <c r="D45" i="9" s="1"/>
  <c r="C44" i="9"/>
  <c r="D44" i="9" s="1"/>
  <c r="C43" i="9"/>
  <c r="D43" i="9" s="1"/>
  <c r="D42" i="9"/>
  <c r="C42" i="9"/>
  <c r="C41" i="9"/>
  <c r="D41" i="9" s="1"/>
  <c r="C40" i="9"/>
  <c r="D40" i="9" s="1"/>
  <c r="C39" i="9"/>
  <c r="D39" i="9" s="1"/>
  <c r="C38" i="9"/>
  <c r="D38" i="9" s="1"/>
  <c r="C37" i="9"/>
  <c r="D37" i="9" s="1"/>
  <c r="C36" i="9"/>
  <c r="D36" i="9" s="1"/>
  <c r="C35" i="9"/>
  <c r="D35" i="9" s="1"/>
  <c r="D34" i="9"/>
  <c r="C34" i="9"/>
  <c r="C33" i="9"/>
  <c r="D33" i="9" s="1"/>
  <c r="C32" i="9"/>
  <c r="D32" i="9" s="1"/>
  <c r="C31" i="9"/>
  <c r="D31" i="9" s="1"/>
  <c r="C30" i="9"/>
  <c r="D30" i="9" s="1"/>
  <c r="C29" i="9"/>
  <c r="D29" i="9" s="1"/>
  <c r="C28" i="9"/>
  <c r="D28" i="9" s="1"/>
  <c r="C27" i="9"/>
  <c r="D27" i="9" s="1"/>
  <c r="D26" i="9"/>
  <c r="C26" i="9"/>
  <c r="C25" i="9"/>
  <c r="D25" i="9" s="1"/>
  <c r="C24" i="9"/>
  <c r="D24" i="9" s="1"/>
  <c r="C23" i="9"/>
  <c r="D23" i="9" s="1"/>
  <c r="C22" i="9"/>
  <c r="D22" i="9" s="1"/>
  <c r="C21" i="9"/>
  <c r="D21" i="9" s="1"/>
  <c r="C20" i="9"/>
  <c r="D20" i="9" s="1"/>
  <c r="C19" i="9"/>
  <c r="D19" i="9" s="1"/>
  <c r="D18" i="9"/>
  <c r="C18" i="9"/>
  <c r="C17" i="9"/>
  <c r="D17" i="9" s="1"/>
  <c r="C16" i="9"/>
  <c r="D16" i="9" s="1"/>
  <c r="C15" i="9"/>
  <c r="D15" i="9" s="1"/>
  <c r="C14" i="9"/>
  <c r="D14" i="9" s="1"/>
  <c r="C13" i="9"/>
  <c r="D13" i="9" s="1"/>
  <c r="C12" i="9"/>
  <c r="D12" i="9" s="1"/>
  <c r="C11" i="9"/>
  <c r="D11" i="9" s="1"/>
  <c r="D10" i="9"/>
  <c r="C10" i="9"/>
  <c r="C9" i="9"/>
  <c r="D9" i="9" s="1"/>
  <c r="C8" i="9"/>
  <c r="D8" i="9" s="1"/>
  <c r="C7" i="9"/>
  <c r="D7" i="9" s="1"/>
  <c r="C6" i="9"/>
  <c r="D6" i="9" s="1"/>
  <c r="C5" i="9"/>
  <c r="D5" i="9" s="1"/>
  <c r="C4" i="9"/>
  <c r="D4" i="9" s="1"/>
  <c r="C3" i="9"/>
  <c r="D3" i="9" s="1"/>
  <c r="C106" i="5"/>
  <c r="D106" i="5" s="1"/>
  <c r="C105" i="5"/>
  <c r="D105" i="5" s="1"/>
  <c r="C104" i="5"/>
  <c r="D104" i="5" s="1"/>
  <c r="C103" i="5"/>
  <c r="D103" i="5" s="1"/>
  <c r="C102" i="5"/>
  <c r="D102" i="5" s="1"/>
  <c r="C101" i="5"/>
  <c r="D101" i="5" s="1"/>
  <c r="C100" i="5"/>
  <c r="D100" i="5" s="1"/>
  <c r="C99" i="5"/>
  <c r="D99" i="5" s="1"/>
  <c r="C98" i="5"/>
  <c r="D98" i="5" s="1"/>
  <c r="C97" i="5"/>
  <c r="D97" i="5" s="1"/>
  <c r="C96" i="5"/>
  <c r="D96" i="5" s="1"/>
  <c r="C95" i="5"/>
  <c r="D95" i="5" s="1"/>
  <c r="C94" i="5"/>
  <c r="D94" i="5" s="1"/>
  <c r="C93" i="5"/>
  <c r="D93" i="5" s="1"/>
  <c r="C92" i="5"/>
  <c r="D92" i="5" s="1"/>
  <c r="C91" i="5"/>
  <c r="D91" i="5" s="1"/>
  <c r="C90" i="5"/>
  <c r="D90" i="5" s="1"/>
  <c r="C89" i="5"/>
  <c r="D89" i="5" s="1"/>
  <c r="C88" i="5"/>
  <c r="D88" i="5" s="1"/>
  <c r="C87" i="5"/>
  <c r="D87" i="5" s="1"/>
  <c r="C86" i="5"/>
  <c r="D86" i="5" s="1"/>
  <c r="C85" i="5"/>
  <c r="D85" i="5" s="1"/>
  <c r="C84" i="5"/>
  <c r="D84" i="5" s="1"/>
  <c r="C83" i="5"/>
  <c r="D83" i="5" s="1"/>
  <c r="C82" i="5"/>
  <c r="D82" i="5" s="1"/>
  <c r="C81" i="5"/>
  <c r="D81" i="5" s="1"/>
  <c r="C80" i="5"/>
  <c r="D80" i="5" s="1"/>
  <c r="C79" i="5"/>
  <c r="D79" i="5" s="1"/>
  <c r="C78" i="5"/>
  <c r="D78" i="5" s="1"/>
  <c r="C77" i="5"/>
  <c r="D77" i="5" s="1"/>
  <c r="C76" i="5"/>
  <c r="D76" i="5" s="1"/>
  <c r="C75" i="5"/>
  <c r="D75" i="5" s="1"/>
  <c r="C74" i="5"/>
  <c r="D74" i="5" s="1"/>
  <c r="C73" i="5"/>
  <c r="D73" i="5" s="1"/>
  <c r="C72" i="5"/>
  <c r="D72" i="5" s="1"/>
  <c r="C71" i="5"/>
  <c r="D71" i="5" s="1"/>
  <c r="C70" i="5"/>
  <c r="D70" i="5" s="1"/>
  <c r="C69" i="5"/>
  <c r="D69" i="5" s="1"/>
  <c r="C68" i="5"/>
  <c r="D68" i="5" s="1"/>
  <c r="C67" i="5"/>
  <c r="D67" i="5" s="1"/>
  <c r="C66" i="5"/>
  <c r="D66" i="5" s="1"/>
  <c r="C65" i="5"/>
  <c r="D65" i="5" s="1"/>
  <c r="C64" i="5"/>
  <c r="D64" i="5" s="1"/>
  <c r="C63" i="5"/>
  <c r="D63" i="5" s="1"/>
  <c r="C62" i="5"/>
  <c r="D62" i="5" s="1"/>
  <c r="C61" i="5"/>
  <c r="D61" i="5" s="1"/>
  <c r="C60" i="5"/>
  <c r="D60" i="5" s="1"/>
  <c r="C59" i="5"/>
  <c r="D59" i="5" s="1"/>
  <c r="C58" i="5"/>
  <c r="D58" i="5" s="1"/>
  <c r="C57" i="5"/>
  <c r="D57" i="5" s="1"/>
  <c r="C56" i="5"/>
  <c r="D56" i="5" s="1"/>
  <c r="C55" i="5"/>
  <c r="D55" i="5" s="1"/>
  <c r="C54" i="5"/>
  <c r="D54" i="5" s="1"/>
  <c r="C53" i="5"/>
  <c r="D53" i="5" s="1"/>
  <c r="C52" i="5"/>
  <c r="D52" i="5" s="1"/>
  <c r="C51" i="5"/>
  <c r="D51" i="5" s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D36" i="5"/>
  <c r="C36" i="5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C13" i="5"/>
  <c r="D13" i="5" s="1"/>
  <c r="C12" i="5"/>
  <c r="D12" i="5" s="1"/>
  <c r="D11" i="5"/>
  <c r="C11" i="5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D106" i="3"/>
  <c r="C106" i="3"/>
  <c r="C105" i="3"/>
  <c r="D105" i="3" s="1"/>
  <c r="C104" i="3"/>
  <c r="D104" i="3" s="1"/>
  <c r="C103" i="3"/>
  <c r="D103" i="3" s="1"/>
  <c r="C102" i="3"/>
  <c r="D102" i="3" s="1"/>
  <c r="C101" i="3"/>
  <c r="D101" i="3" s="1"/>
  <c r="C100" i="3"/>
  <c r="D100" i="3" s="1"/>
  <c r="C99" i="3"/>
  <c r="D99" i="3" s="1"/>
  <c r="D98" i="3"/>
  <c r="C98" i="3"/>
  <c r="C97" i="3"/>
  <c r="D97" i="3" s="1"/>
  <c r="C96" i="3"/>
  <c r="D96" i="3" s="1"/>
  <c r="C95" i="3"/>
  <c r="D95" i="3" s="1"/>
  <c r="C94" i="3"/>
  <c r="D94" i="3" s="1"/>
  <c r="C93" i="3"/>
  <c r="D93" i="3" s="1"/>
  <c r="C92" i="3"/>
  <c r="D92" i="3" s="1"/>
  <c r="C91" i="3"/>
  <c r="D91" i="3" s="1"/>
  <c r="D90" i="3"/>
  <c r="C90" i="3"/>
  <c r="C89" i="3"/>
  <c r="D89" i="3" s="1"/>
  <c r="C88" i="3"/>
  <c r="D88" i="3" s="1"/>
  <c r="C87" i="3"/>
  <c r="D87" i="3" s="1"/>
  <c r="C86" i="3"/>
  <c r="D86" i="3" s="1"/>
  <c r="D85" i="3"/>
  <c r="C85" i="3"/>
  <c r="C84" i="3"/>
  <c r="D84" i="3" s="1"/>
  <c r="C83" i="3"/>
  <c r="D83" i="3" s="1"/>
  <c r="D82" i="3"/>
  <c r="C82" i="3"/>
  <c r="C81" i="3"/>
  <c r="D81" i="3" s="1"/>
  <c r="C80" i="3"/>
  <c r="D80" i="3" s="1"/>
  <c r="C79" i="3"/>
  <c r="D79" i="3" s="1"/>
  <c r="C78" i="3"/>
  <c r="D78" i="3" s="1"/>
  <c r="C77" i="3"/>
  <c r="D77" i="3" s="1"/>
  <c r="C76" i="3"/>
  <c r="D76" i="3" s="1"/>
  <c r="C75" i="3"/>
  <c r="D75" i="3" s="1"/>
  <c r="D74" i="3"/>
  <c r="C74" i="3"/>
  <c r="C73" i="3"/>
  <c r="D73" i="3" s="1"/>
  <c r="C72" i="3"/>
  <c r="D72" i="3" s="1"/>
  <c r="C71" i="3"/>
  <c r="D71" i="3" s="1"/>
  <c r="C70" i="3"/>
  <c r="D70" i="3" s="1"/>
  <c r="C69" i="3"/>
  <c r="D69" i="3" s="1"/>
  <c r="C68" i="3"/>
  <c r="D68" i="3" s="1"/>
  <c r="C67" i="3"/>
  <c r="D67" i="3" s="1"/>
  <c r="D66" i="3"/>
  <c r="C66" i="3"/>
  <c r="C65" i="3"/>
  <c r="D65" i="3" s="1"/>
  <c r="C64" i="3"/>
  <c r="D64" i="3" s="1"/>
  <c r="C63" i="3"/>
  <c r="D63" i="3" s="1"/>
  <c r="C62" i="3"/>
  <c r="D62" i="3" s="1"/>
  <c r="C61" i="3"/>
  <c r="D61" i="3" s="1"/>
  <c r="C60" i="3"/>
  <c r="D60" i="3" s="1"/>
  <c r="C59" i="3"/>
  <c r="D59" i="3" s="1"/>
  <c r="D58" i="3"/>
  <c r="C58" i="3"/>
  <c r="C57" i="3"/>
  <c r="D57" i="3" s="1"/>
  <c r="C56" i="3"/>
  <c r="D56" i="3" s="1"/>
  <c r="C55" i="3"/>
  <c r="D55" i="3" s="1"/>
  <c r="C54" i="3"/>
  <c r="D54" i="3" s="1"/>
  <c r="C53" i="3"/>
  <c r="D53" i="3" s="1"/>
  <c r="C52" i="3"/>
  <c r="D52" i="3" s="1"/>
  <c r="C51" i="3"/>
  <c r="D51" i="3" s="1"/>
  <c r="D50" i="3"/>
  <c r="C50" i="3"/>
  <c r="C49" i="3"/>
  <c r="D49" i="3" s="1"/>
  <c r="C48" i="3"/>
  <c r="D48" i="3" s="1"/>
  <c r="C47" i="3"/>
  <c r="D47" i="3" s="1"/>
  <c r="C46" i="3"/>
  <c r="D46" i="3" s="1"/>
  <c r="C45" i="3"/>
  <c r="D45" i="3" s="1"/>
  <c r="C44" i="3"/>
  <c r="D44" i="3" s="1"/>
  <c r="C43" i="3"/>
  <c r="D43" i="3" s="1"/>
  <c r="D42" i="3"/>
  <c r="C42" i="3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D34" i="3"/>
  <c r="C34" i="3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D26" i="3"/>
  <c r="C26" i="3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D18" i="3"/>
  <c r="C18" i="3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D10" i="3"/>
  <c r="C10" i="3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106" i="8"/>
  <c r="D106" i="8" s="1"/>
  <c r="C105" i="8"/>
  <c r="D105" i="8" s="1"/>
  <c r="C104" i="8"/>
  <c r="D104" i="8" s="1"/>
  <c r="C103" i="8"/>
  <c r="D103" i="8" s="1"/>
  <c r="C102" i="8"/>
  <c r="D102" i="8" s="1"/>
  <c r="C101" i="8"/>
  <c r="D101" i="8" s="1"/>
  <c r="C100" i="8"/>
  <c r="D100" i="8" s="1"/>
  <c r="C99" i="8"/>
  <c r="D99" i="8" s="1"/>
  <c r="C98" i="8"/>
  <c r="D98" i="8" s="1"/>
  <c r="C97" i="8"/>
  <c r="D97" i="8" s="1"/>
  <c r="C96" i="8"/>
  <c r="D96" i="8" s="1"/>
  <c r="C95" i="8"/>
  <c r="D95" i="8" s="1"/>
  <c r="C94" i="8"/>
  <c r="D94" i="8" s="1"/>
  <c r="C93" i="8"/>
  <c r="D93" i="8" s="1"/>
  <c r="C92" i="8"/>
  <c r="D92" i="8" s="1"/>
  <c r="C91" i="8"/>
  <c r="D91" i="8" s="1"/>
  <c r="C90" i="8"/>
  <c r="D90" i="8" s="1"/>
  <c r="C89" i="8"/>
  <c r="D89" i="8" s="1"/>
  <c r="C88" i="8"/>
  <c r="D88" i="8" s="1"/>
  <c r="C87" i="8"/>
  <c r="D87" i="8" s="1"/>
  <c r="C86" i="8"/>
  <c r="D86" i="8" s="1"/>
  <c r="C85" i="8"/>
  <c r="D85" i="8" s="1"/>
  <c r="C84" i="8"/>
  <c r="D84" i="8" s="1"/>
  <c r="C83" i="8"/>
  <c r="D83" i="8" s="1"/>
  <c r="C82" i="8"/>
  <c r="D82" i="8" s="1"/>
  <c r="C81" i="8"/>
  <c r="D81" i="8" s="1"/>
  <c r="C80" i="8"/>
  <c r="D80" i="8" s="1"/>
  <c r="C79" i="8"/>
  <c r="D79" i="8" s="1"/>
  <c r="C78" i="8"/>
  <c r="D78" i="8" s="1"/>
  <c r="C77" i="8"/>
  <c r="D77" i="8" s="1"/>
  <c r="C76" i="8"/>
  <c r="D76" i="8" s="1"/>
  <c r="C75" i="8"/>
  <c r="D75" i="8" s="1"/>
  <c r="C74" i="8"/>
  <c r="D74" i="8" s="1"/>
  <c r="C73" i="8"/>
  <c r="D73" i="8" s="1"/>
  <c r="C72" i="8"/>
  <c r="D72" i="8" s="1"/>
  <c r="C71" i="8"/>
  <c r="D71" i="8" s="1"/>
  <c r="C70" i="8"/>
  <c r="D70" i="8" s="1"/>
  <c r="C69" i="8"/>
  <c r="D69" i="8" s="1"/>
  <c r="C68" i="8"/>
  <c r="D68" i="8" s="1"/>
  <c r="C67" i="8"/>
  <c r="D67" i="8" s="1"/>
  <c r="C66" i="8"/>
  <c r="D66" i="8" s="1"/>
  <c r="C65" i="8"/>
  <c r="D65" i="8" s="1"/>
  <c r="C64" i="8"/>
  <c r="D64" i="8" s="1"/>
  <c r="C63" i="8"/>
  <c r="D63" i="8" s="1"/>
  <c r="C62" i="8"/>
  <c r="D62" i="8" s="1"/>
  <c r="C61" i="8"/>
  <c r="D61" i="8" s="1"/>
  <c r="C60" i="8"/>
  <c r="D60" i="8" s="1"/>
  <c r="C59" i="8"/>
  <c r="D59" i="8" s="1"/>
  <c r="C58" i="8"/>
  <c r="D58" i="8" s="1"/>
  <c r="C57" i="8"/>
  <c r="D57" i="8" s="1"/>
  <c r="C56" i="8"/>
  <c r="D56" i="8" s="1"/>
  <c r="C55" i="8"/>
  <c r="D55" i="8" s="1"/>
  <c r="C54" i="8"/>
  <c r="D54" i="8" s="1"/>
  <c r="C53" i="8"/>
  <c r="D53" i="8" s="1"/>
  <c r="C52" i="8"/>
  <c r="D52" i="8" s="1"/>
  <c r="C51" i="8"/>
  <c r="D51" i="8" s="1"/>
  <c r="C50" i="8"/>
  <c r="D50" i="8" s="1"/>
  <c r="C49" i="8"/>
  <c r="D49" i="8" s="1"/>
  <c r="C48" i="8"/>
  <c r="D48" i="8" s="1"/>
  <c r="C47" i="8"/>
  <c r="D47" i="8" s="1"/>
  <c r="C46" i="8"/>
  <c r="D46" i="8" s="1"/>
  <c r="C45" i="8"/>
  <c r="D45" i="8" s="1"/>
  <c r="C44" i="8"/>
  <c r="D44" i="8" s="1"/>
  <c r="C43" i="8"/>
  <c r="D43" i="8" s="1"/>
  <c r="C42" i="8"/>
  <c r="D42" i="8" s="1"/>
  <c r="C41" i="8"/>
  <c r="D41" i="8" s="1"/>
  <c r="C40" i="8"/>
  <c r="D40" i="8" s="1"/>
  <c r="C39" i="8"/>
  <c r="D39" i="8" s="1"/>
  <c r="C38" i="8"/>
  <c r="D38" i="8" s="1"/>
  <c r="C37" i="8"/>
  <c r="D37" i="8" s="1"/>
  <c r="C36" i="8"/>
  <c r="D36" i="8" s="1"/>
  <c r="C35" i="8"/>
  <c r="D35" i="8" s="1"/>
  <c r="C34" i="8"/>
  <c r="D34" i="8" s="1"/>
  <c r="C33" i="8"/>
  <c r="D33" i="8" s="1"/>
  <c r="C32" i="8"/>
  <c r="D32" i="8" s="1"/>
  <c r="C31" i="8"/>
  <c r="D31" i="8" s="1"/>
  <c r="C30" i="8"/>
  <c r="D30" i="8" s="1"/>
  <c r="C29" i="8"/>
  <c r="D29" i="8" s="1"/>
  <c r="C28" i="8"/>
  <c r="D28" i="8" s="1"/>
  <c r="C27" i="8"/>
  <c r="D27" i="8" s="1"/>
  <c r="C26" i="8"/>
  <c r="D26" i="8" s="1"/>
  <c r="C25" i="8"/>
  <c r="D25" i="8" s="1"/>
  <c r="C24" i="8"/>
  <c r="D24" i="8" s="1"/>
  <c r="C23" i="8"/>
  <c r="D23" i="8" s="1"/>
  <c r="C22" i="8"/>
  <c r="D22" i="8" s="1"/>
  <c r="C21" i="8"/>
  <c r="D21" i="8" s="1"/>
  <c r="C20" i="8"/>
  <c r="D20" i="8" s="1"/>
  <c r="C19" i="8"/>
  <c r="D19" i="8" s="1"/>
  <c r="C18" i="8"/>
  <c r="D18" i="8" s="1"/>
  <c r="C17" i="8"/>
  <c r="D17" i="8" s="1"/>
  <c r="C16" i="8"/>
  <c r="D16" i="8" s="1"/>
  <c r="C15" i="8"/>
  <c r="D15" i="8" s="1"/>
  <c r="C14" i="8"/>
  <c r="D14" i="8" s="1"/>
  <c r="C13" i="8"/>
  <c r="D13" i="8" s="1"/>
  <c r="C12" i="8"/>
  <c r="D12" i="8" s="1"/>
  <c r="C11" i="8"/>
  <c r="D11" i="8" s="1"/>
  <c r="C10" i="8"/>
  <c r="D10" i="8" s="1"/>
  <c r="C9" i="8"/>
  <c r="D9" i="8" s="1"/>
  <c r="C8" i="8"/>
  <c r="D8" i="8" s="1"/>
  <c r="C7" i="8"/>
  <c r="D7" i="8" s="1"/>
  <c r="C6" i="8"/>
  <c r="D6" i="8" s="1"/>
  <c r="C5" i="8"/>
  <c r="D5" i="8" s="1"/>
  <c r="C4" i="8"/>
  <c r="D4" i="8" s="1"/>
  <c r="C3" i="8"/>
  <c r="D3" i="8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BF70F5-76FF-48D7-AB73-456E7854962C}" keepAlive="1" name="Query - AAPL (1)" description="Connection to the 'AAPL (1)' query in the workbook." type="5" refreshedVersion="0" background="1">
    <dbPr connection="Provider=Microsoft.Mashup.OleDb.1;Data Source=$Workbook$;Location=&quot;AAPL (1)&quot;;Extended Properties=&quot;&quot;" command="SELECT * FROM [AAPL (1)]"/>
  </connection>
  <connection id="2" xr16:uid="{60F69618-FC9C-46BF-881B-3B8A26197E1D}" keepAlive="1" name="Query - AAPL (2)" description="Connection to the 'AAPL (2)' query in the workbook." type="5" refreshedVersion="8" background="1" saveData="1">
    <dbPr connection="Provider=Microsoft.Mashup.OleDb.1;Data Source=$Workbook$;Location=&quot;AAPL (2)&quot;;Extended Properties=&quot;&quot;" command="SELECT * FROM [AAPL (2)]"/>
  </connection>
  <connection id="3" xr16:uid="{CFA61498-D55C-486D-845E-414DBD087E82}" keepAlive="1" name="Query - NKE" description="Connection to the 'NKE' query in the workbook." type="5" refreshedVersion="8" background="1" saveData="1">
    <dbPr connection="Provider=Microsoft.Mashup.OleDb.1;Data Source=$Workbook$;Location=NKE;Extended Properties=&quot;&quot;" command="SELECT * FROM [NKE]"/>
  </connection>
  <connection id="4" xr16:uid="{92266B19-5392-4038-9015-FF3062E10BE9}" keepAlive="1" name="Query - TSLA" description="Connection to the 'TSLA' query in the workbook." type="5" refreshedVersion="0" background="1">
    <dbPr connection="Provider=Microsoft.Mashup.OleDb.1;Data Source=$Workbook$;Location=TSLA;Extended Properties=&quot;&quot;" command="SELECT * FROM [TSLA]"/>
  </connection>
  <connection id="5" xr16:uid="{EB502C9D-FFF8-4585-B0B5-B2FCA9F4E493}" keepAlive="1" name="Query - TSLA (1)" description="Connection to the 'TSLA (1)' query in the workbook." type="5" refreshedVersion="8" background="1" saveData="1">
    <dbPr connection="Provider=Microsoft.Mashup.OleDb.1;Data Source=$Workbook$;Location=&quot;TSLA (1)&quot;;Extended Properties=&quot;&quot;" command="SELECT * FROM [TSLA (1)]"/>
  </connection>
  <connection id="6" xr16:uid="{055800EF-6CF7-428F-9A41-05560A4FE5BF}" keepAlive="1" name="Query - WMT" description="Connection to the 'WMT' query in the workbook." type="5" refreshedVersion="8" background="1" saveData="1">
    <dbPr connection="Provider=Microsoft.Mashup.OleDb.1;Data Source=$Workbook$;Location=WMT;Extended Properties=&quot;&quot;" command="SELECT * FROM [WMT]"/>
  </connection>
  <connection id="7" xr16:uid="{E35D9D64-F0B6-4FEE-B0EE-E1A6AD28B345}" keepAlive="1" name="Query - XOM" description="Connection to the 'XOM' query in the workbook." type="5" refreshedVersion="0" background="1">
    <dbPr connection="Provider=Microsoft.Mashup.OleDb.1;Data Source=$Workbook$;Location=XOM;Extended Properties=&quot;&quot;" command="SELECT * FROM [XOM]"/>
  </connection>
  <connection id="8" xr16:uid="{BC1A652D-6137-4FCC-8694-AE779BA75163}" keepAlive="1" name="Query - XOM (1)" description="Connection to the 'XOM (1)' query in the workbook." type="5" refreshedVersion="8" background="1" saveData="1">
    <dbPr connection="Provider=Microsoft.Mashup.OleDb.1;Data Source=$Workbook$;Location=&quot;XOM (1)&quot;;Extended Properties=&quot;&quot;" command="SELECT * FROM [XOM (1)]"/>
  </connection>
</connections>
</file>

<file path=xl/sharedStrings.xml><?xml version="1.0" encoding="utf-8"?>
<sst xmlns="http://schemas.openxmlformats.org/spreadsheetml/2006/main" count="171" uniqueCount="89">
  <si>
    <t>Date</t>
  </si>
  <si>
    <t>Adj Close</t>
  </si>
  <si>
    <t>start 16.23</t>
  </si>
  <si>
    <t>Return</t>
  </si>
  <si>
    <t>Return +1</t>
  </si>
  <si>
    <t>Arithmatic return</t>
  </si>
  <si>
    <t>Geometric return</t>
  </si>
  <si>
    <t>STD return</t>
  </si>
  <si>
    <t>Variance return</t>
  </si>
  <si>
    <t>Tabel Portfolio</t>
  </si>
  <si>
    <t>Apple</t>
  </si>
  <si>
    <t>Expected Return</t>
  </si>
  <si>
    <t>Standard Deviation</t>
  </si>
  <si>
    <t>Shares Hold</t>
  </si>
  <si>
    <t>Expected Return x Shares Hold</t>
  </si>
  <si>
    <t>Portfolio Expected Return</t>
  </si>
  <si>
    <t>Tabel Covariansi Antar Return Saham (Mingguan)</t>
  </si>
  <si>
    <t>(Shares Hold^2) x Variansi</t>
  </si>
  <si>
    <t>Shares Hold1 x Shares Hold2 x Covariansi</t>
  </si>
  <si>
    <t>Total Portfolio Risk</t>
  </si>
  <si>
    <t>Tesla</t>
  </si>
  <si>
    <t>Nike</t>
  </si>
  <si>
    <t>Walmart</t>
  </si>
  <si>
    <t>Exxon</t>
  </si>
  <si>
    <t>Shares Composition</t>
  </si>
  <si>
    <t>Portfolio</t>
  </si>
  <si>
    <t>Shares Composition Sum</t>
  </si>
  <si>
    <t>Apple (A)</t>
  </si>
  <si>
    <t>Risk (sb-x)</t>
  </si>
  <si>
    <t>Return (sb-y)</t>
  </si>
  <si>
    <t>Bahan Menhitung Portfolio Risk</t>
  </si>
  <si>
    <t>Cov A,B</t>
  </si>
  <si>
    <t>Cov A,C</t>
  </si>
  <si>
    <t>Cov A,D</t>
  </si>
  <si>
    <t>Cov B,C</t>
  </si>
  <si>
    <t>Cov B,D</t>
  </si>
  <si>
    <t>Cov C,D</t>
  </si>
  <si>
    <t>Var A</t>
  </si>
  <si>
    <t>Var B</t>
  </si>
  <si>
    <t>Var C</t>
  </si>
  <si>
    <t>Var D</t>
  </si>
  <si>
    <t>Bagian Untuk Solver</t>
  </si>
  <si>
    <t>Share Composition Asset A</t>
  </si>
  <si>
    <t>Share Composition Asset B</t>
  </si>
  <si>
    <t>Share Composition Asset C</t>
  </si>
  <si>
    <t>Share Composition Asset D</t>
  </si>
  <si>
    <t>Total Composition</t>
  </si>
  <si>
    <t>Portfolio Return</t>
  </si>
  <si>
    <t>Portfolio Risk</t>
  </si>
  <si>
    <t>Kasus 1</t>
  </si>
  <si>
    <t>Maximize Return (f. objektif)</t>
  </si>
  <si>
    <t>Given Risk (f. kendala)</t>
  </si>
  <si>
    <t>Kasus 2</t>
  </si>
  <si>
    <t>Given Return (f. kendala)</t>
  </si>
  <si>
    <t>Minimize Risk (f. objektif)</t>
  </si>
  <si>
    <t>Tesla (B)</t>
  </si>
  <si>
    <t>Nike (C)</t>
  </si>
  <si>
    <t>Walmart (D)</t>
  </si>
  <si>
    <t xml:space="preserve">Exxon (E) </t>
  </si>
  <si>
    <t>Cov A,E</t>
  </si>
  <si>
    <t>Cov B,E</t>
  </si>
  <si>
    <t>Cov C,E</t>
  </si>
  <si>
    <t>Var E</t>
  </si>
  <si>
    <t>Cov D,E</t>
  </si>
  <si>
    <t>(Shares^2)*variance</t>
  </si>
  <si>
    <t>shares*shares*cov</t>
  </si>
  <si>
    <t>Share Composition Asset E</t>
  </si>
  <si>
    <t>solver (Shares^2)*variance</t>
  </si>
  <si>
    <t>solver shares*shares*cov</t>
  </si>
  <si>
    <t>Risk Free (per tahun)</t>
  </si>
  <si>
    <t>Risk Free (per minggu)</t>
  </si>
  <si>
    <t>CAL (Melewati MVF)</t>
  </si>
  <si>
    <t>ambil komposisi</t>
  </si>
  <si>
    <t>2 titik yang dilewati</t>
  </si>
  <si>
    <t>x (risk)</t>
  </si>
  <si>
    <t>y (return)</t>
  </si>
  <si>
    <t>slope (beta)</t>
  </si>
  <si>
    <t>Persamaan Garis</t>
  </si>
  <si>
    <t>plot titik</t>
  </si>
  <si>
    <t>CML (Tepat Menyinggung MVF)</t>
  </si>
  <si>
    <t>Calon Titik Singgung (diliat dari gambar)</t>
  </si>
  <si>
    <t xml:space="preserve"> slope</t>
  </si>
  <si>
    <t>(ambil yang slope paling besar)</t>
  </si>
  <si>
    <t>SML</t>
  </si>
  <si>
    <t>x (beta)</t>
  </si>
  <si>
    <t>slope</t>
  </si>
  <si>
    <t>y = 0,001374615 + (-6,1063)*x</t>
  </si>
  <si>
    <t>y = 0,001374615 +4,829970184*x</t>
  </si>
  <si>
    <t>y = 0,001374615 + 0,007290273*x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</si>
</sst>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"/>
    <numFmt numFmtId="166" formatCode="0.0000000000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22222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3" fillId="6" borderId="2" xfId="0" applyFont="1" applyFill="1" applyBorder="1"/>
    <xf numFmtId="0" fontId="0" fillId="6" borderId="2" xfId="0" applyFill="1" applyBorder="1"/>
    <xf numFmtId="0" fontId="0" fillId="3" borderId="1" xfId="0" applyFill="1" applyBorder="1"/>
    <xf numFmtId="0" fontId="3" fillId="6" borderId="1" xfId="0" applyFont="1" applyFill="1" applyBorder="1"/>
    <xf numFmtId="0" fontId="0" fillId="6" borderId="1" xfId="0" applyFill="1" applyBorder="1"/>
    <xf numFmtId="0" fontId="0" fillId="0" borderId="3" xfId="0" applyBorder="1"/>
    <xf numFmtId="0" fontId="0" fillId="0" borderId="0" xfId="0" applyAlignment="1">
      <alignment horizontal="center" vertical="center" wrapText="1"/>
    </xf>
    <xf numFmtId="0" fontId="0" fillId="9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164" fontId="0" fillId="0" borderId="0" xfId="0" applyNumberFormat="1"/>
    <xf numFmtId="165" fontId="5" fillId="0" borderId="0" xfId="0" applyNumberFormat="1" applyFont="1"/>
    <xf numFmtId="0" fontId="2" fillId="0" borderId="0" xfId="0" applyFont="1"/>
    <xf numFmtId="166" fontId="0" fillId="0" borderId="1" xfId="0" applyNumberFormat="1" applyBorder="1"/>
    <xf numFmtId="166" fontId="5" fillId="0" borderId="1" xfId="0" applyNumberFormat="1" applyFont="1" applyBorder="1"/>
    <xf numFmtId="165" fontId="0" fillId="0" borderId="1" xfId="0" applyNumberFormat="1" applyBorder="1"/>
    <xf numFmtId="164" fontId="0" fillId="0" borderId="1" xfId="0" applyNumberFormat="1" applyBorder="1"/>
    <xf numFmtId="164" fontId="0" fillId="11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0" fillId="10" borderId="0" xfId="0" applyFill="1" applyAlignment="1">
      <alignment horizontal="center"/>
    </xf>
  </cellXfs>
  <cellStyles count="1">
    <cellStyle name="Normal" xfId="0" builtinId="0"/>
  </cellStyles>
  <dxfs count="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MVF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MVF!$G$3:$G$103</c:f>
              <c:numCache>
                <c:formatCode>0.000000000</c:formatCode>
                <c:ptCount val="101"/>
                <c:pt idx="0">
                  <c:v>1.3108297854584462E-3</c:v>
                </c:pt>
                <c:pt idx="1">
                  <c:v>1.3904697734312146E-3</c:v>
                </c:pt>
                <c:pt idx="2">
                  <c:v>1.3125221724675281E-3</c:v>
                </c:pt>
                <c:pt idx="3">
                  <c:v>1.1638332630521091E-3</c:v>
                </c:pt>
                <c:pt idx="4">
                  <c:v>9.6705983822192344E-4</c:v>
                </c:pt>
                <c:pt idx="5">
                  <c:v>1.1383710881557722E-3</c:v>
                </c:pt>
                <c:pt idx="6">
                  <c:v>1.1199605120128435E-3</c:v>
                </c:pt>
                <c:pt idx="7">
                  <c:v>1.0267911663918894E-3</c:v>
                </c:pt>
                <c:pt idx="8">
                  <c:v>9.2059505096029563E-4</c:v>
                </c:pt>
                <c:pt idx="9">
                  <c:v>5.8222266683530645E-3</c:v>
                </c:pt>
                <c:pt idx="10">
                  <c:v>4.9725378895094001E-3</c:v>
                </c:pt>
                <c:pt idx="11">
                  <c:v>4.08694559240991E-3</c:v>
                </c:pt>
                <c:pt idx="12">
                  <c:v>3.2332596722139928E-3</c:v>
                </c:pt>
                <c:pt idx="13">
                  <c:v>2.649170977483818E-3</c:v>
                </c:pt>
                <c:pt idx="14">
                  <c:v>2.1483140245922971E-3</c:v>
                </c:pt>
                <c:pt idx="15">
                  <c:v>1.6325311967628098E-3</c:v>
                </c:pt>
                <c:pt idx="16">
                  <c:v>1.1835775628552241E-3</c:v>
                </c:pt>
                <c:pt idx="17">
                  <c:v>1.9932599165884139E-3</c:v>
                </c:pt>
                <c:pt idx="18">
                  <c:v>1.6898363516085087E-3</c:v>
                </c:pt>
                <c:pt idx="19">
                  <c:v>1.372271664090822E-3</c:v>
                </c:pt>
                <c:pt idx="20">
                  <c:v>1.2000029390253539E-3</c:v>
                </c:pt>
                <c:pt idx="21">
                  <c:v>1.1822019989533204E-3</c:v>
                </c:pt>
                <c:pt idx="22">
                  <c:v>1.0021238698733807E-3</c:v>
                </c:pt>
                <c:pt idx="23">
                  <c:v>8.3087246233219214E-4</c:v>
                </c:pt>
                <c:pt idx="24">
                  <c:v>7.6856992402091705E-4</c:v>
                </c:pt>
                <c:pt idx="25">
                  <c:v>1.0431618896925472E-3</c:v>
                </c:pt>
                <c:pt idx="26">
                  <c:v>8.6087427137768082E-4</c:v>
                </c:pt>
                <c:pt idx="27">
                  <c:v>7.6873868320564802E-4</c:v>
                </c:pt>
                <c:pt idx="28">
                  <c:v>7.9644576544140981E-4</c:v>
                </c:pt>
                <c:pt idx="29">
                  <c:v>7.4495304753210696E-4</c:v>
                </c:pt>
                <c:pt idx="30">
                  <c:v>6.6177847728079607E-4</c:v>
                </c:pt>
                <c:pt idx="31">
                  <c:v>6.6047159002597462E-4</c:v>
                </c:pt>
                <c:pt idx="32">
                  <c:v>8.6386235778032117E-4</c:v>
                </c:pt>
                <c:pt idx="33">
                  <c:v>1.840856231978777E-3</c:v>
                </c:pt>
                <c:pt idx="34">
                  <c:v>1.5093826409697171E-3</c:v>
                </c:pt>
                <c:pt idx="35">
                  <c:v>1.3305533999700197E-3</c:v>
                </c:pt>
                <c:pt idx="36">
                  <c:v>1.1194291345025397E-3</c:v>
                </c:pt>
                <c:pt idx="37">
                  <c:v>9.1142920192775138E-4</c:v>
                </c:pt>
                <c:pt idx="38">
                  <c:v>7.9879046413901819E-4</c:v>
                </c:pt>
                <c:pt idx="39">
                  <c:v>9.2351613237522134E-4</c:v>
                </c:pt>
                <c:pt idx="40">
                  <c:v>9.3653352877254043E-4</c:v>
                </c:pt>
                <c:pt idx="41">
                  <c:v>1.0706435553148963E-3</c:v>
                </c:pt>
                <c:pt idx="42">
                  <c:v>7.2111104818948276E-4</c:v>
                </c:pt>
                <c:pt idx="43">
                  <c:v>8.6258035129649737E-4</c:v>
                </c:pt>
                <c:pt idx="44">
                  <c:v>1.2448336282117607E-3</c:v>
                </c:pt>
                <c:pt idx="45">
                  <c:v>9.8545108479393927E-4</c:v>
                </c:pt>
                <c:pt idx="46">
                  <c:v>6.4477263415819151E-4</c:v>
                </c:pt>
                <c:pt idx="47">
                  <c:v>7.9407623400829072E-4</c:v>
                </c:pt>
                <c:pt idx="48">
                  <c:v>7.7107398265858541E-4</c:v>
                </c:pt>
                <c:pt idx="49">
                  <c:v>1.0577327677174474E-3</c:v>
                </c:pt>
                <c:pt idx="50">
                  <c:v>6.6039218775093469E-4</c:v>
                </c:pt>
                <c:pt idx="51">
                  <c:v>9.1537745290924341E-4</c:v>
                </c:pt>
                <c:pt idx="52">
                  <c:v>1.0155669299288139E-3</c:v>
                </c:pt>
                <c:pt idx="53">
                  <c:v>1.0058569974160242E-3</c:v>
                </c:pt>
                <c:pt idx="54">
                  <c:v>1.5625322554311235E-3</c:v>
                </c:pt>
                <c:pt idx="55">
                  <c:v>1.0336409182064112E-3</c:v>
                </c:pt>
                <c:pt idx="56">
                  <c:v>1.2096388777785461E-3</c:v>
                </c:pt>
                <c:pt idx="57">
                  <c:v>1.200313388033909E-3</c:v>
                </c:pt>
                <c:pt idx="58">
                  <c:v>8.9089670396803313E-4</c:v>
                </c:pt>
                <c:pt idx="59">
                  <c:v>1.1528678189156336E-3</c:v>
                </c:pt>
                <c:pt idx="60">
                  <c:v>1.1473565899985361E-3</c:v>
                </c:pt>
                <c:pt idx="61">
                  <c:v>8.9320687351499028E-4</c:v>
                </c:pt>
                <c:pt idx="62">
                  <c:v>1.0046000145697166E-3</c:v>
                </c:pt>
                <c:pt idx="63">
                  <c:v>1.1626049668518924E-3</c:v>
                </c:pt>
                <c:pt idx="64">
                  <c:v>1.4222946563118731E-3</c:v>
                </c:pt>
                <c:pt idx="65">
                  <c:v>7.100155848558077E-4</c:v>
                </c:pt>
                <c:pt idx="66">
                  <c:v>6.4652020480507506E-4</c:v>
                </c:pt>
                <c:pt idx="67">
                  <c:v>1.2618709951044643E-3</c:v>
                </c:pt>
                <c:pt idx="68">
                  <c:v>9.2947508675689694E-4</c:v>
                </c:pt>
                <c:pt idx="69">
                  <c:v>1.1690507154114562E-3</c:v>
                </c:pt>
                <c:pt idx="70">
                  <c:v>1.2611874953566021E-3</c:v>
                </c:pt>
                <c:pt idx="71">
                  <c:v>1.154550764025397E-3</c:v>
                </c:pt>
                <c:pt idx="72">
                  <c:v>9.6074672239485201E-4</c:v>
                </c:pt>
                <c:pt idx="73">
                  <c:v>1.7517459654414938E-3</c:v>
                </c:pt>
                <c:pt idx="74">
                  <c:v>1.2505686845378811E-3</c:v>
                </c:pt>
                <c:pt idx="75">
                  <c:v>9.0807960290362514E-4</c:v>
                </c:pt>
                <c:pt idx="76">
                  <c:v>6.3742981804824428E-4</c:v>
                </c:pt>
                <c:pt idx="77">
                  <c:v>8.851536552137002E-4</c:v>
                </c:pt>
                <c:pt idx="78">
                  <c:v>1.2070863943063725E-3</c:v>
                </c:pt>
                <c:pt idx="79">
                  <c:v>2.34041624641347E-3</c:v>
                </c:pt>
                <c:pt idx="80">
                  <c:v>6.438980679818213E-4</c:v>
                </c:pt>
                <c:pt idx="81">
                  <c:v>1.2080329301100011E-3</c:v>
                </c:pt>
                <c:pt idx="82">
                  <c:v>1.1838572521505062E-3</c:v>
                </c:pt>
                <c:pt idx="83">
                  <c:v>7.8856205319324552E-4</c:v>
                </c:pt>
                <c:pt idx="84">
                  <c:v>7.6504619477088791E-4</c:v>
                </c:pt>
                <c:pt idx="85">
                  <c:v>8.0490948149739418E-4</c:v>
                </c:pt>
                <c:pt idx="86">
                  <c:v>1.1088775526246469E-3</c:v>
                </c:pt>
                <c:pt idx="87">
                  <c:v>1.5828233627137147E-3</c:v>
                </c:pt>
                <c:pt idx="88">
                  <c:v>9.8648963250727996E-4</c:v>
                </c:pt>
                <c:pt idx="89">
                  <c:v>1.0236426805636208E-3</c:v>
                </c:pt>
                <c:pt idx="90">
                  <c:v>1.090114239421388E-3</c:v>
                </c:pt>
                <c:pt idx="91">
                  <c:v>8.0829907122014844E-4</c:v>
                </c:pt>
                <c:pt idx="92">
                  <c:v>9.555537053416534E-4</c:v>
                </c:pt>
                <c:pt idx="93">
                  <c:v>9.7652935291763811E-4</c:v>
                </c:pt>
                <c:pt idx="94">
                  <c:v>1.1149227662388234E-3</c:v>
                </c:pt>
                <c:pt idx="95">
                  <c:v>1.6288625880625165E-3</c:v>
                </c:pt>
                <c:pt idx="96">
                  <c:v>6.6985991105382632E-4</c:v>
                </c:pt>
                <c:pt idx="97">
                  <c:v>7.7831938272635969E-4</c:v>
                </c:pt>
                <c:pt idx="98">
                  <c:v>8.6483845404866015E-4</c:v>
                </c:pt>
                <c:pt idx="99">
                  <c:v>9.4184376743976597E-4</c:v>
                </c:pt>
                <c:pt idx="100">
                  <c:v>8.4591399248534543E-4</c:v>
                </c:pt>
              </c:numCache>
            </c:numRef>
          </c:xVal>
          <c:yVal>
            <c:numRef>
              <c:f>MVF!$H$3:$H$103</c:f>
              <c:numCache>
                <c:formatCode>General</c:formatCode>
                <c:ptCount val="101"/>
                <c:pt idx="0">
                  <c:v>4.1753522555865175E-5</c:v>
                </c:pt>
                <c:pt idx="1">
                  <c:v>-7.212629756398137E-4</c:v>
                </c:pt>
                <c:pt idx="2">
                  <c:v>-9.1367557158089641E-4</c:v>
                </c:pt>
                <c:pt idx="3">
                  <c:v>-9.2008856177495664E-4</c:v>
                </c:pt>
                <c:pt idx="4">
                  <c:v>3.8037508254384856E-5</c:v>
                </c:pt>
                <c:pt idx="5">
                  <c:v>-7.2497898994129412E-4</c:v>
                </c:pt>
                <c:pt idx="6">
                  <c:v>-9.1739158588237694E-4</c:v>
                </c:pt>
                <c:pt idx="7">
                  <c:v>-9.2380457607643685E-4</c:v>
                </c:pt>
                <c:pt idx="8">
                  <c:v>3.4321493952904538E-5</c:v>
                </c:pt>
                <c:pt idx="9">
                  <c:v>-7.5884114594009233E-3</c:v>
                </c:pt>
                <c:pt idx="10">
                  <c:v>-7.0178075571463274E-3</c:v>
                </c:pt>
                <c:pt idx="11">
                  <c:v>-6.2612040491447085E-3</c:v>
                </c:pt>
                <c:pt idx="12">
                  <c:v>-4.5400614809196875E-3</c:v>
                </c:pt>
                <c:pt idx="13">
                  <c:v>-3.7770449827240092E-3</c:v>
                </c:pt>
                <c:pt idx="14">
                  <c:v>-3.2064410804694132E-3</c:v>
                </c:pt>
                <c:pt idx="15">
                  <c:v>-2.4498375724677948E-3</c:v>
                </c:pt>
                <c:pt idx="16">
                  <c:v>-7.2869500424277422E-4</c:v>
                </c:pt>
                <c:pt idx="17">
                  <c:v>-1.8823724368549621E-3</c:v>
                </c:pt>
                <c:pt idx="18">
                  <c:v>-1.6963728311079397E-3</c:v>
                </c:pt>
                <c:pt idx="19">
                  <c:v>-5.4583416513751546E-4</c:v>
                </c:pt>
                <c:pt idx="20">
                  <c:v>-3.5342156919643264E-4</c:v>
                </c:pt>
                <c:pt idx="21">
                  <c:v>-9.2402547145102902E-4</c:v>
                </c:pt>
                <c:pt idx="22">
                  <c:v>-7.3802586570400632E-4</c:v>
                </c:pt>
                <c:pt idx="23">
                  <c:v>4.1251280026641788E-4</c:v>
                </c:pt>
                <c:pt idx="24">
                  <c:v>6.049253962075007E-4</c:v>
                </c:pt>
                <c:pt idx="25">
                  <c:v>-2.2376379384736467E-5</c:v>
                </c:pt>
                <c:pt idx="26">
                  <c:v>9.4216268083866515E-4</c:v>
                </c:pt>
                <c:pt idx="27">
                  <c:v>9.4857567103272537E-4</c:v>
                </c:pt>
                <c:pt idx="28">
                  <c:v>1.9197216303110662E-4</c:v>
                </c:pt>
                <c:pt idx="29">
                  <c:v>5.9725572840840357E-6</c:v>
                </c:pt>
                <c:pt idx="30">
                  <c:v>9.7051161750748565E-4</c:v>
                </c:pt>
                <c:pt idx="31">
                  <c:v>9.7692460770154588E-4</c:v>
                </c:pt>
                <c:pt idx="32">
                  <c:v>2.2032109969992702E-4</c:v>
                </c:pt>
                <c:pt idx="33">
                  <c:v>9.6230142228492799E-3</c:v>
                </c:pt>
                <c:pt idx="34">
                  <c:v>8.6648881528199381E-3</c:v>
                </c:pt>
                <c:pt idx="35">
                  <c:v>6.9437455845949179E-3</c:v>
                </c:pt>
                <c:pt idx="36">
                  <c:v>5.7932069186244937E-3</c:v>
                </c:pt>
                <c:pt idx="37">
                  <c:v>4.8286678584010924E-3</c:v>
                </c:pt>
                <c:pt idx="38">
                  <c:v>3.8705417883717506E-3</c:v>
                </c:pt>
                <c:pt idx="39">
                  <c:v>2.1493992201467305E-3</c:v>
                </c:pt>
                <c:pt idx="40">
                  <c:v>9.9886055417630604E-4</c:v>
                </c:pt>
                <c:pt idx="41">
                  <c:v>-5.2169233157066982E-4</c:v>
                </c:pt>
                <c:pt idx="42">
                  <c:v>1.0566559559035461E-4</c:v>
                </c:pt>
                <c:pt idx="43">
                  <c:v>-1.9351021330733104E-5</c:v>
                </c:pt>
                <c:pt idx="44">
                  <c:v>-8.7321116931705651E-5</c:v>
                </c:pt>
                <c:pt idx="45">
                  <c:v>4.6112034342341728E-4</c:v>
                </c:pt>
                <c:pt idx="46">
                  <c:v>1.0604059260322385E-3</c:v>
                </c:pt>
                <c:pt idx="47">
                  <c:v>2.2014756091228273E-4</c:v>
                </c:pt>
                <c:pt idx="48">
                  <c:v>1.342881473345282E-3</c:v>
                </c:pt>
                <c:pt idx="49">
                  <c:v>1.1378235873656106E-4</c:v>
                </c:pt>
                <c:pt idx="50">
                  <c:v>2.0254246987261725E-3</c:v>
                </c:pt>
                <c:pt idx="51">
                  <c:v>1.0850692328836719E-3</c:v>
                </c:pt>
                <c:pt idx="52">
                  <c:v>-5.1005238038040468E-5</c:v>
                </c:pt>
                <c:pt idx="53">
                  <c:v>2.2660691563927736E-4</c:v>
                </c:pt>
                <c:pt idx="54">
                  <c:v>-1.9556055641685747E-3</c:v>
                </c:pt>
                <c:pt idx="55">
                  <c:v>2.6287519683070894E-4</c:v>
                </c:pt>
                <c:pt idx="56">
                  <c:v>-6.3899715018840564E-4</c:v>
                </c:pt>
                <c:pt idx="57">
                  <c:v>-7.8582409843277741E-4</c:v>
                </c:pt>
                <c:pt idx="58">
                  <c:v>1.0868142814390814E-3</c:v>
                </c:pt>
                <c:pt idx="59">
                  <c:v>-1.4945568685089576E-4</c:v>
                </c:pt>
                <c:pt idx="60">
                  <c:v>-2.2348034101134749E-4</c:v>
                </c:pt>
                <c:pt idx="61">
                  <c:v>1.279515428003966E-3</c:v>
                </c:pt>
                <c:pt idx="62">
                  <c:v>1.3163272233759084E-3</c:v>
                </c:pt>
                <c:pt idx="63">
                  <c:v>-1.3900115694205958E-3</c:v>
                </c:pt>
                <c:pt idx="64">
                  <c:v>-9.127957626138051E-4</c:v>
                </c:pt>
                <c:pt idx="65">
                  <c:v>7.5358122203138711E-4</c:v>
                </c:pt>
                <c:pt idx="66">
                  <c:v>2.4464099298812294E-3</c:v>
                </c:pt>
                <c:pt idx="67">
                  <c:v>-1.3597882259381343E-3</c:v>
                </c:pt>
                <c:pt idx="68">
                  <c:v>4.5177426515962283E-4</c:v>
                </c:pt>
                <c:pt idx="69">
                  <c:v>8.4598967403337437E-4</c:v>
                </c:pt>
                <c:pt idx="70">
                  <c:v>-1.5126798357817453E-3</c:v>
                </c:pt>
                <c:pt idx="71">
                  <c:v>-2.0626919567303466E-3</c:v>
                </c:pt>
                <c:pt idx="72">
                  <c:v>1.7091373450565963E-3</c:v>
                </c:pt>
                <c:pt idx="73">
                  <c:v>-2.6323682338164479E-3</c:v>
                </c:pt>
                <c:pt idx="74">
                  <c:v>-7.4649334840338425E-4</c:v>
                </c:pt>
                <c:pt idx="75">
                  <c:v>-7.305467293122717E-4</c:v>
                </c:pt>
                <c:pt idx="76">
                  <c:v>2.6629776784937364E-3</c:v>
                </c:pt>
                <c:pt idx="77">
                  <c:v>6.301867137032029E-4</c:v>
                </c:pt>
                <c:pt idx="78">
                  <c:v>-1.7633694504266221E-4</c:v>
                </c:pt>
                <c:pt idx="79">
                  <c:v>-3.7877311172457261E-3</c:v>
                </c:pt>
                <c:pt idx="80">
                  <c:v>1.1808837156547024E-3</c:v>
                </c:pt>
                <c:pt idx="81">
                  <c:v>-1.4320483897448351E-3</c:v>
                </c:pt>
                <c:pt idx="82">
                  <c:v>-1.5362213490749572E-3</c:v>
                </c:pt>
                <c:pt idx="83">
                  <c:v>5.2694923942102042E-4</c:v>
                </c:pt>
                <c:pt idx="84">
                  <c:v>9.9463112767767957E-4</c:v>
                </c:pt>
                <c:pt idx="85">
                  <c:v>7.0840741031534082E-4</c:v>
                </c:pt>
                <c:pt idx="86">
                  <c:v>-1.5486658569725774E-3</c:v>
                </c:pt>
                <c:pt idx="87">
                  <c:v>-3.1024458882189516E-3</c:v>
                </c:pt>
                <c:pt idx="88">
                  <c:v>-6.3110338327786262E-5</c:v>
                </c:pt>
                <c:pt idx="89">
                  <c:v>-1.6611185987500761E-4</c:v>
                </c:pt>
                <c:pt idx="90">
                  <c:v>-1.0653691396989001E-3</c:v>
                </c:pt>
                <c:pt idx="91">
                  <c:v>1.7911011219019968E-3</c:v>
                </c:pt>
                <c:pt idx="92">
                  <c:v>9.8981672734400807E-4</c:v>
                </c:pt>
                <c:pt idx="93">
                  <c:v>-5.8359880166023652E-4</c:v>
                </c:pt>
                <c:pt idx="94">
                  <c:v>7.2325369280424852E-4</c:v>
                </c:pt>
                <c:pt idx="95">
                  <c:v>-2.7821933332039445E-3</c:v>
                </c:pt>
                <c:pt idx="96">
                  <c:v>7.9294910554019479E-4</c:v>
                </c:pt>
                <c:pt idx="97">
                  <c:v>8.5820162281682833E-4</c:v>
                </c:pt>
                <c:pt idx="98">
                  <c:v>9.0688752176571103E-4</c:v>
                </c:pt>
                <c:pt idx="99">
                  <c:v>-9.7117478463895136E-4</c:v>
                </c:pt>
                <c:pt idx="100">
                  <c:v>2.6575798931589541E-4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E7-4CC2-A9A2-221210D9C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35359"/>
        <c:axId val="1143916079"/>
      </c:scatterChart>
      <c:valAx>
        <c:axId val="112793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16079"/>
        <c:crosses val="autoZero"/>
        <c:crossBetween val="midCat"/>
      </c:valAx>
      <c:valAx>
        <c:axId val="11439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3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MVF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MVF!$G$3:$G$103</c:f>
              <c:numCache>
                <c:formatCode>0.000000000</c:formatCode>
                <c:ptCount val="101"/>
                <c:pt idx="0">
                  <c:v>1.3108297854584462E-3</c:v>
                </c:pt>
                <c:pt idx="1">
                  <c:v>1.3904697734312146E-3</c:v>
                </c:pt>
                <c:pt idx="2">
                  <c:v>1.3125221724675281E-3</c:v>
                </c:pt>
                <c:pt idx="3">
                  <c:v>1.1638332630521091E-3</c:v>
                </c:pt>
                <c:pt idx="4">
                  <c:v>9.6705983822192344E-4</c:v>
                </c:pt>
                <c:pt idx="5">
                  <c:v>1.1383710881557722E-3</c:v>
                </c:pt>
                <c:pt idx="6">
                  <c:v>1.1199605120128435E-3</c:v>
                </c:pt>
                <c:pt idx="7">
                  <c:v>1.0267911663918894E-3</c:v>
                </c:pt>
                <c:pt idx="8">
                  <c:v>9.2059505096029563E-4</c:v>
                </c:pt>
                <c:pt idx="9">
                  <c:v>5.8222266683530645E-3</c:v>
                </c:pt>
                <c:pt idx="10">
                  <c:v>4.9725378895094001E-3</c:v>
                </c:pt>
                <c:pt idx="11">
                  <c:v>4.08694559240991E-3</c:v>
                </c:pt>
                <c:pt idx="12">
                  <c:v>3.2332596722139928E-3</c:v>
                </c:pt>
                <c:pt idx="13">
                  <c:v>2.649170977483818E-3</c:v>
                </c:pt>
                <c:pt idx="14">
                  <c:v>2.1483140245922971E-3</c:v>
                </c:pt>
                <c:pt idx="15">
                  <c:v>1.6325311967628098E-3</c:v>
                </c:pt>
                <c:pt idx="16">
                  <c:v>1.1835775628552241E-3</c:v>
                </c:pt>
                <c:pt idx="17">
                  <c:v>1.9932599165884139E-3</c:v>
                </c:pt>
                <c:pt idx="18">
                  <c:v>1.6898363516085087E-3</c:v>
                </c:pt>
                <c:pt idx="19">
                  <c:v>1.372271664090822E-3</c:v>
                </c:pt>
                <c:pt idx="20">
                  <c:v>1.2000029390253539E-3</c:v>
                </c:pt>
                <c:pt idx="21">
                  <c:v>1.1822019989533204E-3</c:v>
                </c:pt>
                <c:pt idx="22">
                  <c:v>1.0021238698733807E-3</c:v>
                </c:pt>
                <c:pt idx="23">
                  <c:v>8.3087246233219214E-4</c:v>
                </c:pt>
                <c:pt idx="24">
                  <c:v>7.6856992402091705E-4</c:v>
                </c:pt>
                <c:pt idx="25">
                  <c:v>1.0431618896925472E-3</c:v>
                </c:pt>
                <c:pt idx="26">
                  <c:v>8.6087427137768082E-4</c:v>
                </c:pt>
                <c:pt idx="27">
                  <c:v>7.6873868320564802E-4</c:v>
                </c:pt>
                <c:pt idx="28">
                  <c:v>7.9644576544140981E-4</c:v>
                </c:pt>
                <c:pt idx="29">
                  <c:v>7.4495304753210696E-4</c:v>
                </c:pt>
                <c:pt idx="30">
                  <c:v>6.6177847728079607E-4</c:v>
                </c:pt>
                <c:pt idx="31">
                  <c:v>6.6047159002597462E-4</c:v>
                </c:pt>
                <c:pt idx="32">
                  <c:v>8.6386235778032117E-4</c:v>
                </c:pt>
                <c:pt idx="33">
                  <c:v>1.840856231978777E-3</c:v>
                </c:pt>
                <c:pt idx="34">
                  <c:v>1.5093826409697171E-3</c:v>
                </c:pt>
                <c:pt idx="35">
                  <c:v>1.3305533999700197E-3</c:v>
                </c:pt>
                <c:pt idx="36">
                  <c:v>1.1194291345025397E-3</c:v>
                </c:pt>
                <c:pt idx="37">
                  <c:v>9.1142920192775138E-4</c:v>
                </c:pt>
                <c:pt idx="38">
                  <c:v>7.9879046413901819E-4</c:v>
                </c:pt>
                <c:pt idx="39">
                  <c:v>9.2351613237522134E-4</c:v>
                </c:pt>
                <c:pt idx="40">
                  <c:v>9.3653352877254043E-4</c:v>
                </c:pt>
                <c:pt idx="41">
                  <c:v>1.0706435553148963E-3</c:v>
                </c:pt>
                <c:pt idx="42">
                  <c:v>7.2111104818948276E-4</c:v>
                </c:pt>
                <c:pt idx="43">
                  <c:v>8.6258035129649737E-4</c:v>
                </c:pt>
                <c:pt idx="44">
                  <c:v>1.2448336282117607E-3</c:v>
                </c:pt>
                <c:pt idx="45">
                  <c:v>9.8545108479393927E-4</c:v>
                </c:pt>
                <c:pt idx="46">
                  <c:v>6.4477263415819151E-4</c:v>
                </c:pt>
                <c:pt idx="47">
                  <c:v>7.9407623400829072E-4</c:v>
                </c:pt>
                <c:pt idx="48">
                  <c:v>7.7107398265858541E-4</c:v>
                </c:pt>
                <c:pt idx="49">
                  <c:v>1.0577327677174474E-3</c:v>
                </c:pt>
                <c:pt idx="50">
                  <c:v>6.6039218775093469E-4</c:v>
                </c:pt>
                <c:pt idx="51">
                  <c:v>9.1537745290924341E-4</c:v>
                </c:pt>
                <c:pt idx="52">
                  <c:v>1.0155669299288139E-3</c:v>
                </c:pt>
                <c:pt idx="53">
                  <c:v>1.0058569974160242E-3</c:v>
                </c:pt>
                <c:pt idx="54">
                  <c:v>1.5625322554311235E-3</c:v>
                </c:pt>
                <c:pt idx="55">
                  <c:v>1.0336409182064112E-3</c:v>
                </c:pt>
                <c:pt idx="56">
                  <c:v>1.2096388777785461E-3</c:v>
                </c:pt>
                <c:pt idx="57">
                  <c:v>1.200313388033909E-3</c:v>
                </c:pt>
                <c:pt idx="58">
                  <c:v>8.9089670396803313E-4</c:v>
                </c:pt>
                <c:pt idx="59">
                  <c:v>1.1528678189156336E-3</c:v>
                </c:pt>
                <c:pt idx="60">
                  <c:v>1.1473565899985361E-3</c:v>
                </c:pt>
                <c:pt idx="61">
                  <c:v>8.9320687351499028E-4</c:v>
                </c:pt>
                <c:pt idx="62">
                  <c:v>1.0046000145697166E-3</c:v>
                </c:pt>
                <c:pt idx="63">
                  <c:v>1.1626049668518924E-3</c:v>
                </c:pt>
                <c:pt idx="64">
                  <c:v>1.4222946563118731E-3</c:v>
                </c:pt>
                <c:pt idx="65">
                  <c:v>7.100155848558077E-4</c:v>
                </c:pt>
                <c:pt idx="66">
                  <c:v>6.4652020480507506E-4</c:v>
                </c:pt>
                <c:pt idx="67">
                  <c:v>1.2618709951044643E-3</c:v>
                </c:pt>
                <c:pt idx="68">
                  <c:v>9.2947508675689694E-4</c:v>
                </c:pt>
                <c:pt idx="69">
                  <c:v>1.1690507154114562E-3</c:v>
                </c:pt>
                <c:pt idx="70">
                  <c:v>1.2611874953566021E-3</c:v>
                </c:pt>
                <c:pt idx="71">
                  <c:v>1.154550764025397E-3</c:v>
                </c:pt>
                <c:pt idx="72">
                  <c:v>9.6074672239485201E-4</c:v>
                </c:pt>
                <c:pt idx="73">
                  <c:v>1.7517459654414938E-3</c:v>
                </c:pt>
                <c:pt idx="74">
                  <c:v>1.2505686845378811E-3</c:v>
                </c:pt>
                <c:pt idx="75">
                  <c:v>9.0807960290362514E-4</c:v>
                </c:pt>
                <c:pt idx="76">
                  <c:v>6.3742981804824428E-4</c:v>
                </c:pt>
                <c:pt idx="77">
                  <c:v>8.851536552137002E-4</c:v>
                </c:pt>
                <c:pt idx="78">
                  <c:v>1.2070863943063725E-3</c:v>
                </c:pt>
                <c:pt idx="79">
                  <c:v>2.34041624641347E-3</c:v>
                </c:pt>
                <c:pt idx="80">
                  <c:v>6.438980679818213E-4</c:v>
                </c:pt>
                <c:pt idx="81">
                  <c:v>1.2080329301100011E-3</c:v>
                </c:pt>
                <c:pt idx="82">
                  <c:v>1.1838572521505062E-3</c:v>
                </c:pt>
                <c:pt idx="83">
                  <c:v>7.8856205319324552E-4</c:v>
                </c:pt>
                <c:pt idx="84">
                  <c:v>7.6504619477088791E-4</c:v>
                </c:pt>
                <c:pt idx="85">
                  <c:v>8.0490948149739418E-4</c:v>
                </c:pt>
                <c:pt idx="86">
                  <c:v>1.1088775526246469E-3</c:v>
                </c:pt>
                <c:pt idx="87">
                  <c:v>1.5828233627137147E-3</c:v>
                </c:pt>
                <c:pt idx="88">
                  <c:v>9.8648963250727996E-4</c:v>
                </c:pt>
                <c:pt idx="89">
                  <c:v>1.0236426805636208E-3</c:v>
                </c:pt>
                <c:pt idx="90">
                  <c:v>1.090114239421388E-3</c:v>
                </c:pt>
                <c:pt idx="91">
                  <c:v>8.0829907122014844E-4</c:v>
                </c:pt>
                <c:pt idx="92">
                  <c:v>9.555537053416534E-4</c:v>
                </c:pt>
                <c:pt idx="93">
                  <c:v>9.7652935291763811E-4</c:v>
                </c:pt>
                <c:pt idx="94">
                  <c:v>1.1149227662388234E-3</c:v>
                </c:pt>
                <c:pt idx="95">
                  <c:v>1.6288625880625165E-3</c:v>
                </c:pt>
                <c:pt idx="96">
                  <c:v>6.6985991105382632E-4</c:v>
                </c:pt>
                <c:pt idx="97">
                  <c:v>7.7831938272635969E-4</c:v>
                </c:pt>
                <c:pt idx="98">
                  <c:v>8.6483845404866015E-4</c:v>
                </c:pt>
                <c:pt idx="99">
                  <c:v>9.4184376743976597E-4</c:v>
                </c:pt>
                <c:pt idx="100">
                  <c:v>8.4591399248534543E-4</c:v>
                </c:pt>
              </c:numCache>
            </c:numRef>
          </c:xVal>
          <c:yVal>
            <c:numRef>
              <c:f>MVF!$H$3:$H$103</c:f>
              <c:numCache>
                <c:formatCode>General</c:formatCode>
                <c:ptCount val="101"/>
                <c:pt idx="0">
                  <c:v>4.1753522555865175E-5</c:v>
                </c:pt>
                <c:pt idx="1">
                  <c:v>-7.212629756398137E-4</c:v>
                </c:pt>
                <c:pt idx="2">
                  <c:v>-9.1367557158089641E-4</c:v>
                </c:pt>
                <c:pt idx="3">
                  <c:v>-9.2008856177495664E-4</c:v>
                </c:pt>
                <c:pt idx="4">
                  <c:v>3.8037508254384856E-5</c:v>
                </c:pt>
                <c:pt idx="5">
                  <c:v>-7.2497898994129412E-4</c:v>
                </c:pt>
                <c:pt idx="6">
                  <c:v>-9.1739158588237694E-4</c:v>
                </c:pt>
                <c:pt idx="7">
                  <c:v>-9.2380457607643685E-4</c:v>
                </c:pt>
                <c:pt idx="8">
                  <c:v>3.4321493952904538E-5</c:v>
                </c:pt>
                <c:pt idx="9">
                  <c:v>-7.5884114594009233E-3</c:v>
                </c:pt>
                <c:pt idx="10">
                  <c:v>-7.0178075571463274E-3</c:v>
                </c:pt>
                <c:pt idx="11">
                  <c:v>-6.2612040491447085E-3</c:v>
                </c:pt>
                <c:pt idx="12">
                  <c:v>-4.5400614809196875E-3</c:v>
                </c:pt>
                <c:pt idx="13">
                  <c:v>-3.7770449827240092E-3</c:v>
                </c:pt>
                <c:pt idx="14">
                  <c:v>-3.2064410804694132E-3</c:v>
                </c:pt>
                <c:pt idx="15">
                  <c:v>-2.4498375724677948E-3</c:v>
                </c:pt>
                <c:pt idx="16">
                  <c:v>-7.2869500424277422E-4</c:v>
                </c:pt>
                <c:pt idx="17">
                  <c:v>-1.8823724368549621E-3</c:v>
                </c:pt>
                <c:pt idx="18">
                  <c:v>-1.6963728311079397E-3</c:v>
                </c:pt>
                <c:pt idx="19">
                  <c:v>-5.4583416513751546E-4</c:v>
                </c:pt>
                <c:pt idx="20">
                  <c:v>-3.5342156919643264E-4</c:v>
                </c:pt>
                <c:pt idx="21">
                  <c:v>-9.2402547145102902E-4</c:v>
                </c:pt>
                <c:pt idx="22">
                  <c:v>-7.3802586570400632E-4</c:v>
                </c:pt>
                <c:pt idx="23">
                  <c:v>4.1251280026641788E-4</c:v>
                </c:pt>
                <c:pt idx="24">
                  <c:v>6.049253962075007E-4</c:v>
                </c:pt>
                <c:pt idx="25">
                  <c:v>-2.2376379384736467E-5</c:v>
                </c:pt>
                <c:pt idx="26">
                  <c:v>9.4216268083866515E-4</c:v>
                </c:pt>
                <c:pt idx="27">
                  <c:v>9.4857567103272537E-4</c:v>
                </c:pt>
                <c:pt idx="28">
                  <c:v>1.9197216303110662E-4</c:v>
                </c:pt>
                <c:pt idx="29">
                  <c:v>5.9725572840840357E-6</c:v>
                </c:pt>
                <c:pt idx="30">
                  <c:v>9.7051161750748565E-4</c:v>
                </c:pt>
                <c:pt idx="31">
                  <c:v>9.7692460770154588E-4</c:v>
                </c:pt>
                <c:pt idx="32">
                  <c:v>2.2032109969992702E-4</c:v>
                </c:pt>
                <c:pt idx="33">
                  <c:v>9.6230142228492799E-3</c:v>
                </c:pt>
                <c:pt idx="34">
                  <c:v>8.6648881528199381E-3</c:v>
                </c:pt>
                <c:pt idx="35">
                  <c:v>6.9437455845949179E-3</c:v>
                </c:pt>
                <c:pt idx="36">
                  <c:v>5.7932069186244937E-3</c:v>
                </c:pt>
                <c:pt idx="37">
                  <c:v>4.8286678584010924E-3</c:v>
                </c:pt>
                <c:pt idx="38">
                  <c:v>3.8705417883717506E-3</c:v>
                </c:pt>
                <c:pt idx="39">
                  <c:v>2.1493992201467305E-3</c:v>
                </c:pt>
                <c:pt idx="40">
                  <c:v>9.9886055417630604E-4</c:v>
                </c:pt>
                <c:pt idx="41">
                  <c:v>-5.2169233157066982E-4</c:v>
                </c:pt>
                <c:pt idx="42">
                  <c:v>1.0566559559035461E-4</c:v>
                </c:pt>
                <c:pt idx="43">
                  <c:v>-1.9351021330733104E-5</c:v>
                </c:pt>
                <c:pt idx="44">
                  <c:v>-8.7321116931705651E-5</c:v>
                </c:pt>
                <c:pt idx="45">
                  <c:v>4.6112034342341728E-4</c:v>
                </c:pt>
                <c:pt idx="46">
                  <c:v>1.0604059260322385E-3</c:v>
                </c:pt>
                <c:pt idx="47">
                  <c:v>2.2014756091228273E-4</c:v>
                </c:pt>
                <c:pt idx="48">
                  <c:v>1.342881473345282E-3</c:v>
                </c:pt>
                <c:pt idx="49">
                  <c:v>1.1378235873656106E-4</c:v>
                </c:pt>
                <c:pt idx="50">
                  <c:v>2.0254246987261725E-3</c:v>
                </c:pt>
                <c:pt idx="51">
                  <c:v>1.0850692328836719E-3</c:v>
                </c:pt>
                <c:pt idx="52">
                  <c:v>-5.1005238038040468E-5</c:v>
                </c:pt>
                <c:pt idx="53">
                  <c:v>2.2660691563927736E-4</c:v>
                </c:pt>
                <c:pt idx="54">
                  <c:v>-1.9556055641685747E-3</c:v>
                </c:pt>
                <c:pt idx="55">
                  <c:v>2.6287519683070894E-4</c:v>
                </c:pt>
                <c:pt idx="56">
                  <c:v>-6.3899715018840564E-4</c:v>
                </c:pt>
                <c:pt idx="57">
                  <c:v>-7.8582409843277741E-4</c:v>
                </c:pt>
                <c:pt idx="58">
                  <c:v>1.0868142814390814E-3</c:v>
                </c:pt>
                <c:pt idx="59">
                  <c:v>-1.4945568685089576E-4</c:v>
                </c:pt>
                <c:pt idx="60">
                  <c:v>-2.2348034101134749E-4</c:v>
                </c:pt>
                <c:pt idx="61">
                  <c:v>1.279515428003966E-3</c:v>
                </c:pt>
                <c:pt idx="62">
                  <c:v>1.3163272233759084E-3</c:v>
                </c:pt>
                <c:pt idx="63">
                  <c:v>-1.3900115694205958E-3</c:v>
                </c:pt>
                <c:pt idx="64">
                  <c:v>-9.127957626138051E-4</c:v>
                </c:pt>
                <c:pt idx="65">
                  <c:v>7.5358122203138711E-4</c:v>
                </c:pt>
                <c:pt idx="66">
                  <c:v>2.4464099298812294E-3</c:v>
                </c:pt>
                <c:pt idx="67">
                  <c:v>-1.3597882259381343E-3</c:v>
                </c:pt>
                <c:pt idx="68">
                  <c:v>4.5177426515962283E-4</c:v>
                </c:pt>
                <c:pt idx="69">
                  <c:v>8.4598967403337437E-4</c:v>
                </c:pt>
                <c:pt idx="70">
                  <c:v>-1.5126798357817453E-3</c:v>
                </c:pt>
                <c:pt idx="71">
                  <c:v>-2.0626919567303466E-3</c:v>
                </c:pt>
                <c:pt idx="72">
                  <c:v>1.7091373450565963E-3</c:v>
                </c:pt>
                <c:pt idx="73">
                  <c:v>-2.6323682338164479E-3</c:v>
                </c:pt>
                <c:pt idx="74">
                  <c:v>-7.4649334840338425E-4</c:v>
                </c:pt>
                <c:pt idx="75">
                  <c:v>-7.305467293122717E-4</c:v>
                </c:pt>
                <c:pt idx="76">
                  <c:v>2.6629776784937364E-3</c:v>
                </c:pt>
                <c:pt idx="77">
                  <c:v>6.301867137032029E-4</c:v>
                </c:pt>
                <c:pt idx="78">
                  <c:v>-1.7633694504266221E-4</c:v>
                </c:pt>
                <c:pt idx="79">
                  <c:v>-3.7877311172457261E-3</c:v>
                </c:pt>
                <c:pt idx="80">
                  <c:v>1.1808837156547024E-3</c:v>
                </c:pt>
                <c:pt idx="81">
                  <c:v>-1.4320483897448351E-3</c:v>
                </c:pt>
                <c:pt idx="82">
                  <c:v>-1.5362213490749572E-3</c:v>
                </c:pt>
                <c:pt idx="83">
                  <c:v>5.2694923942102042E-4</c:v>
                </c:pt>
                <c:pt idx="84">
                  <c:v>9.9463112767767957E-4</c:v>
                </c:pt>
                <c:pt idx="85">
                  <c:v>7.0840741031534082E-4</c:v>
                </c:pt>
                <c:pt idx="86">
                  <c:v>-1.5486658569725774E-3</c:v>
                </c:pt>
                <c:pt idx="87">
                  <c:v>-3.1024458882189516E-3</c:v>
                </c:pt>
                <c:pt idx="88">
                  <c:v>-6.3110338327786262E-5</c:v>
                </c:pt>
                <c:pt idx="89">
                  <c:v>-1.6611185987500761E-4</c:v>
                </c:pt>
                <c:pt idx="90">
                  <c:v>-1.0653691396989001E-3</c:v>
                </c:pt>
                <c:pt idx="91">
                  <c:v>1.7911011219019968E-3</c:v>
                </c:pt>
                <c:pt idx="92">
                  <c:v>9.8981672734400807E-4</c:v>
                </c:pt>
                <c:pt idx="93">
                  <c:v>-5.8359880166023652E-4</c:v>
                </c:pt>
                <c:pt idx="94">
                  <c:v>7.2325369280424852E-4</c:v>
                </c:pt>
                <c:pt idx="95">
                  <c:v>-2.7821933332039445E-3</c:v>
                </c:pt>
                <c:pt idx="96">
                  <c:v>7.9294910554019479E-4</c:v>
                </c:pt>
                <c:pt idx="97">
                  <c:v>8.5820162281682833E-4</c:v>
                </c:pt>
                <c:pt idx="98">
                  <c:v>9.0688752176571103E-4</c:v>
                </c:pt>
                <c:pt idx="99">
                  <c:v>-9.7117478463895136E-4</c:v>
                </c:pt>
                <c:pt idx="100">
                  <c:v>2.6575798931589541E-4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BC-4F1C-A29A-C0926E97FD5C}"/>
            </c:ext>
          </c:extLst>
        </c:ser>
        <c:ser>
          <c:idx val="0"/>
          <c:order val="1"/>
          <c:tx>
            <c:v>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'CAL CML SML'!$A$19:$A$23</c:f>
              <c:numCache>
                <c:formatCode>General</c:formatCode>
                <c:ptCount val="5"/>
                <c:pt idx="0">
                  <c:v>0</c:v>
                </c:pt>
                <c:pt idx="1">
                  <c:v>1E-4</c:v>
                </c:pt>
                <c:pt idx="2">
                  <c:v>5.9999999999999995E-4</c:v>
                </c:pt>
                <c:pt idx="3">
                  <c:v>1E-3</c:v>
                </c:pt>
                <c:pt idx="4">
                  <c:v>6.4999999999999997E-3</c:v>
                </c:pt>
              </c:numCache>
            </c:numRef>
          </c:xVal>
          <c:yVal>
            <c:numRef>
              <c:f>'CAL CML SML'!$B$19:$B$23</c:f>
              <c:numCache>
                <c:formatCode>General</c:formatCode>
                <c:ptCount val="5"/>
                <c:pt idx="0">
                  <c:v>1.3746153846153847E-3</c:v>
                </c:pt>
                <c:pt idx="1">
                  <c:v>1.3135520860976791E-3</c:v>
                </c:pt>
                <c:pt idx="2">
                  <c:v>1.0082355935091512E-3</c:v>
                </c:pt>
                <c:pt idx="3">
                  <c:v>7.6398239943832873E-4</c:v>
                </c:pt>
                <c:pt idx="4">
                  <c:v>-2.594499019035479E-3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BC-4F1C-A29A-C0926E97F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545663"/>
        <c:axId val="1279740959"/>
      </c:scatterChart>
      <c:valAx>
        <c:axId val="91654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Risk</a:t>
                </a:r>
              </a:p>
            </c:rich>
          </c:tx>
          <c:overlay val="0"/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40959"/>
        <c:crosses val="autoZero"/>
        <c:crossBetween val="midCat"/>
      </c:valAx>
      <c:valAx>
        <c:axId val="127974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Return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456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CML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MVF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MVF!$G$3:$G$103</c:f>
              <c:numCache>
                <c:formatCode>0.000000000</c:formatCode>
                <c:ptCount val="101"/>
                <c:pt idx="0">
                  <c:v>1.3108297854584462E-3</c:v>
                </c:pt>
                <c:pt idx="1">
                  <c:v>1.3904697734312146E-3</c:v>
                </c:pt>
                <c:pt idx="2">
                  <c:v>1.3125221724675281E-3</c:v>
                </c:pt>
                <c:pt idx="3">
                  <c:v>1.1638332630521091E-3</c:v>
                </c:pt>
                <c:pt idx="4">
                  <c:v>9.6705983822192344E-4</c:v>
                </c:pt>
                <c:pt idx="5">
                  <c:v>1.1383710881557722E-3</c:v>
                </c:pt>
                <c:pt idx="6">
                  <c:v>1.1199605120128435E-3</c:v>
                </c:pt>
                <c:pt idx="7">
                  <c:v>1.0267911663918894E-3</c:v>
                </c:pt>
                <c:pt idx="8">
                  <c:v>9.2059505096029563E-4</c:v>
                </c:pt>
                <c:pt idx="9">
                  <c:v>5.8222266683530645E-3</c:v>
                </c:pt>
                <c:pt idx="10">
                  <c:v>4.9725378895094001E-3</c:v>
                </c:pt>
                <c:pt idx="11">
                  <c:v>4.08694559240991E-3</c:v>
                </c:pt>
                <c:pt idx="12">
                  <c:v>3.2332596722139928E-3</c:v>
                </c:pt>
                <c:pt idx="13">
                  <c:v>2.649170977483818E-3</c:v>
                </c:pt>
                <c:pt idx="14">
                  <c:v>2.1483140245922971E-3</c:v>
                </c:pt>
                <c:pt idx="15">
                  <c:v>1.6325311967628098E-3</c:v>
                </c:pt>
                <c:pt idx="16">
                  <c:v>1.1835775628552241E-3</c:v>
                </c:pt>
                <c:pt idx="17">
                  <c:v>1.9932599165884139E-3</c:v>
                </c:pt>
                <c:pt idx="18">
                  <c:v>1.6898363516085087E-3</c:v>
                </c:pt>
                <c:pt idx="19">
                  <c:v>1.372271664090822E-3</c:v>
                </c:pt>
                <c:pt idx="20">
                  <c:v>1.2000029390253539E-3</c:v>
                </c:pt>
                <c:pt idx="21">
                  <c:v>1.1822019989533204E-3</c:v>
                </c:pt>
                <c:pt idx="22">
                  <c:v>1.0021238698733807E-3</c:v>
                </c:pt>
                <c:pt idx="23">
                  <c:v>8.3087246233219214E-4</c:v>
                </c:pt>
                <c:pt idx="24">
                  <c:v>7.6856992402091705E-4</c:v>
                </c:pt>
                <c:pt idx="25">
                  <c:v>1.0431618896925472E-3</c:v>
                </c:pt>
                <c:pt idx="26">
                  <c:v>8.6087427137768082E-4</c:v>
                </c:pt>
                <c:pt idx="27">
                  <c:v>7.6873868320564802E-4</c:v>
                </c:pt>
                <c:pt idx="28">
                  <c:v>7.9644576544140981E-4</c:v>
                </c:pt>
                <c:pt idx="29">
                  <c:v>7.4495304753210696E-4</c:v>
                </c:pt>
                <c:pt idx="30">
                  <c:v>6.6177847728079607E-4</c:v>
                </c:pt>
                <c:pt idx="31">
                  <c:v>6.6047159002597462E-4</c:v>
                </c:pt>
                <c:pt idx="32">
                  <c:v>8.6386235778032117E-4</c:v>
                </c:pt>
                <c:pt idx="33">
                  <c:v>1.840856231978777E-3</c:v>
                </c:pt>
                <c:pt idx="34">
                  <c:v>1.5093826409697171E-3</c:v>
                </c:pt>
                <c:pt idx="35">
                  <c:v>1.3305533999700197E-3</c:v>
                </c:pt>
                <c:pt idx="36">
                  <c:v>1.1194291345025397E-3</c:v>
                </c:pt>
                <c:pt idx="37">
                  <c:v>9.1142920192775138E-4</c:v>
                </c:pt>
                <c:pt idx="38">
                  <c:v>7.9879046413901819E-4</c:v>
                </c:pt>
                <c:pt idx="39">
                  <c:v>9.2351613237522134E-4</c:v>
                </c:pt>
                <c:pt idx="40">
                  <c:v>9.3653352877254043E-4</c:v>
                </c:pt>
                <c:pt idx="41">
                  <c:v>1.0706435553148963E-3</c:v>
                </c:pt>
                <c:pt idx="42">
                  <c:v>7.2111104818948276E-4</c:v>
                </c:pt>
                <c:pt idx="43">
                  <c:v>8.6258035129649737E-4</c:v>
                </c:pt>
                <c:pt idx="44">
                  <c:v>1.2448336282117607E-3</c:v>
                </c:pt>
                <c:pt idx="45">
                  <c:v>9.8545108479393927E-4</c:v>
                </c:pt>
                <c:pt idx="46">
                  <c:v>6.4477263415819151E-4</c:v>
                </c:pt>
                <c:pt idx="47">
                  <c:v>7.9407623400829072E-4</c:v>
                </c:pt>
                <c:pt idx="48">
                  <c:v>7.7107398265858541E-4</c:v>
                </c:pt>
                <c:pt idx="49">
                  <c:v>1.0577327677174474E-3</c:v>
                </c:pt>
                <c:pt idx="50">
                  <c:v>6.6039218775093469E-4</c:v>
                </c:pt>
                <c:pt idx="51">
                  <c:v>9.1537745290924341E-4</c:v>
                </c:pt>
                <c:pt idx="52">
                  <c:v>1.0155669299288139E-3</c:v>
                </c:pt>
                <c:pt idx="53">
                  <c:v>1.0058569974160242E-3</c:v>
                </c:pt>
                <c:pt idx="54">
                  <c:v>1.5625322554311235E-3</c:v>
                </c:pt>
                <c:pt idx="55">
                  <c:v>1.0336409182064112E-3</c:v>
                </c:pt>
                <c:pt idx="56">
                  <c:v>1.2096388777785461E-3</c:v>
                </c:pt>
                <c:pt idx="57">
                  <c:v>1.200313388033909E-3</c:v>
                </c:pt>
                <c:pt idx="58">
                  <c:v>8.9089670396803313E-4</c:v>
                </c:pt>
                <c:pt idx="59">
                  <c:v>1.1528678189156336E-3</c:v>
                </c:pt>
                <c:pt idx="60">
                  <c:v>1.1473565899985361E-3</c:v>
                </c:pt>
                <c:pt idx="61">
                  <c:v>8.9320687351499028E-4</c:v>
                </c:pt>
                <c:pt idx="62">
                  <c:v>1.0046000145697166E-3</c:v>
                </c:pt>
                <c:pt idx="63">
                  <c:v>1.1626049668518924E-3</c:v>
                </c:pt>
                <c:pt idx="64">
                  <c:v>1.4222946563118731E-3</c:v>
                </c:pt>
                <c:pt idx="65">
                  <c:v>7.100155848558077E-4</c:v>
                </c:pt>
                <c:pt idx="66">
                  <c:v>6.4652020480507506E-4</c:v>
                </c:pt>
                <c:pt idx="67">
                  <c:v>1.2618709951044643E-3</c:v>
                </c:pt>
                <c:pt idx="68">
                  <c:v>9.2947508675689694E-4</c:v>
                </c:pt>
                <c:pt idx="69">
                  <c:v>1.1690507154114562E-3</c:v>
                </c:pt>
                <c:pt idx="70">
                  <c:v>1.2611874953566021E-3</c:v>
                </c:pt>
                <c:pt idx="71">
                  <c:v>1.154550764025397E-3</c:v>
                </c:pt>
                <c:pt idx="72">
                  <c:v>9.6074672239485201E-4</c:v>
                </c:pt>
                <c:pt idx="73">
                  <c:v>1.7517459654414938E-3</c:v>
                </c:pt>
                <c:pt idx="74">
                  <c:v>1.2505686845378811E-3</c:v>
                </c:pt>
                <c:pt idx="75">
                  <c:v>9.0807960290362514E-4</c:v>
                </c:pt>
                <c:pt idx="76">
                  <c:v>6.3742981804824428E-4</c:v>
                </c:pt>
                <c:pt idx="77">
                  <c:v>8.851536552137002E-4</c:v>
                </c:pt>
                <c:pt idx="78">
                  <c:v>1.2070863943063725E-3</c:v>
                </c:pt>
                <c:pt idx="79">
                  <c:v>2.34041624641347E-3</c:v>
                </c:pt>
                <c:pt idx="80">
                  <c:v>6.438980679818213E-4</c:v>
                </c:pt>
                <c:pt idx="81">
                  <c:v>1.2080329301100011E-3</c:v>
                </c:pt>
                <c:pt idx="82">
                  <c:v>1.1838572521505062E-3</c:v>
                </c:pt>
                <c:pt idx="83">
                  <c:v>7.8856205319324552E-4</c:v>
                </c:pt>
                <c:pt idx="84">
                  <c:v>7.6504619477088791E-4</c:v>
                </c:pt>
                <c:pt idx="85">
                  <c:v>8.0490948149739418E-4</c:v>
                </c:pt>
                <c:pt idx="86">
                  <c:v>1.1088775526246469E-3</c:v>
                </c:pt>
                <c:pt idx="87">
                  <c:v>1.5828233627137147E-3</c:v>
                </c:pt>
                <c:pt idx="88">
                  <c:v>9.8648963250727996E-4</c:v>
                </c:pt>
                <c:pt idx="89">
                  <c:v>1.0236426805636208E-3</c:v>
                </c:pt>
                <c:pt idx="90">
                  <c:v>1.090114239421388E-3</c:v>
                </c:pt>
                <c:pt idx="91">
                  <c:v>8.0829907122014844E-4</c:v>
                </c:pt>
                <c:pt idx="92">
                  <c:v>9.555537053416534E-4</c:v>
                </c:pt>
                <c:pt idx="93">
                  <c:v>9.7652935291763811E-4</c:v>
                </c:pt>
                <c:pt idx="94">
                  <c:v>1.1149227662388234E-3</c:v>
                </c:pt>
                <c:pt idx="95">
                  <c:v>1.6288625880625165E-3</c:v>
                </c:pt>
                <c:pt idx="96">
                  <c:v>6.6985991105382632E-4</c:v>
                </c:pt>
                <c:pt idx="97">
                  <c:v>7.7831938272635969E-4</c:v>
                </c:pt>
                <c:pt idx="98">
                  <c:v>8.6483845404866015E-4</c:v>
                </c:pt>
                <c:pt idx="99">
                  <c:v>9.4184376743976597E-4</c:v>
                </c:pt>
                <c:pt idx="100">
                  <c:v>8.4591399248534543E-4</c:v>
                </c:pt>
              </c:numCache>
            </c:numRef>
          </c:xVal>
          <c:yVal>
            <c:numRef>
              <c:f>MVF!$H$3:$H$103</c:f>
              <c:numCache>
                <c:formatCode>General</c:formatCode>
                <c:ptCount val="101"/>
                <c:pt idx="0">
                  <c:v>4.1753522555865175E-5</c:v>
                </c:pt>
                <c:pt idx="1">
                  <c:v>-7.212629756398137E-4</c:v>
                </c:pt>
                <c:pt idx="2">
                  <c:v>-9.1367557158089641E-4</c:v>
                </c:pt>
                <c:pt idx="3">
                  <c:v>-9.2008856177495664E-4</c:v>
                </c:pt>
                <c:pt idx="4">
                  <c:v>3.8037508254384856E-5</c:v>
                </c:pt>
                <c:pt idx="5">
                  <c:v>-7.2497898994129412E-4</c:v>
                </c:pt>
                <c:pt idx="6">
                  <c:v>-9.1739158588237694E-4</c:v>
                </c:pt>
                <c:pt idx="7">
                  <c:v>-9.2380457607643685E-4</c:v>
                </c:pt>
                <c:pt idx="8">
                  <c:v>3.4321493952904538E-5</c:v>
                </c:pt>
                <c:pt idx="9">
                  <c:v>-7.5884114594009233E-3</c:v>
                </c:pt>
                <c:pt idx="10">
                  <c:v>-7.0178075571463274E-3</c:v>
                </c:pt>
                <c:pt idx="11">
                  <c:v>-6.2612040491447085E-3</c:v>
                </c:pt>
                <c:pt idx="12">
                  <c:v>-4.5400614809196875E-3</c:v>
                </c:pt>
                <c:pt idx="13">
                  <c:v>-3.7770449827240092E-3</c:v>
                </c:pt>
                <c:pt idx="14">
                  <c:v>-3.2064410804694132E-3</c:v>
                </c:pt>
                <c:pt idx="15">
                  <c:v>-2.4498375724677948E-3</c:v>
                </c:pt>
                <c:pt idx="16">
                  <c:v>-7.2869500424277422E-4</c:v>
                </c:pt>
                <c:pt idx="17">
                  <c:v>-1.8823724368549621E-3</c:v>
                </c:pt>
                <c:pt idx="18">
                  <c:v>-1.6963728311079397E-3</c:v>
                </c:pt>
                <c:pt idx="19">
                  <c:v>-5.4583416513751546E-4</c:v>
                </c:pt>
                <c:pt idx="20">
                  <c:v>-3.5342156919643264E-4</c:v>
                </c:pt>
                <c:pt idx="21">
                  <c:v>-9.2402547145102902E-4</c:v>
                </c:pt>
                <c:pt idx="22">
                  <c:v>-7.3802586570400632E-4</c:v>
                </c:pt>
                <c:pt idx="23">
                  <c:v>4.1251280026641788E-4</c:v>
                </c:pt>
                <c:pt idx="24">
                  <c:v>6.049253962075007E-4</c:v>
                </c:pt>
                <c:pt idx="25">
                  <c:v>-2.2376379384736467E-5</c:v>
                </c:pt>
                <c:pt idx="26">
                  <c:v>9.4216268083866515E-4</c:v>
                </c:pt>
                <c:pt idx="27">
                  <c:v>9.4857567103272537E-4</c:v>
                </c:pt>
                <c:pt idx="28">
                  <c:v>1.9197216303110662E-4</c:v>
                </c:pt>
                <c:pt idx="29">
                  <c:v>5.9725572840840357E-6</c:v>
                </c:pt>
                <c:pt idx="30">
                  <c:v>9.7051161750748565E-4</c:v>
                </c:pt>
                <c:pt idx="31">
                  <c:v>9.7692460770154588E-4</c:v>
                </c:pt>
                <c:pt idx="32">
                  <c:v>2.2032109969992702E-4</c:v>
                </c:pt>
                <c:pt idx="33">
                  <c:v>9.6230142228492799E-3</c:v>
                </c:pt>
                <c:pt idx="34">
                  <c:v>8.6648881528199381E-3</c:v>
                </c:pt>
                <c:pt idx="35">
                  <c:v>6.9437455845949179E-3</c:v>
                </c:pt>
                <c:pt idx="36">
                  <c:v>5.7932069186244937E-3</c:v>
                </c:pt>
                <c:pt idx="37">
                  <c:v>4.8286678584010924E-3</c:v>
                </c:pt>
                <c:pt idx="38">
                  <c:v>3.8705417883717506E-3</c:v>
                </c:pt>
                <c:pt idx="39">
                  <c:v>2.1493992201467305E-3</c:v>
                </c:pt>
                <c:pt idx="40">
                  <c:v>9.9886055417630604E-4</c:v>
                </c:pt>
                <c:pt idx="41">
                  <c:v>-5.2169233157066982E-4</c:v>
                </c:pt>
                <c:pt idx="42">
                  <c:v>1.0566559559035461E-4</c:v>
                </c:pt>
                <c:pt idx="43">
                  <c:v>-1.9351021330733104E-5</c:v>
                </c:pt>
                <c:pt idx="44">
                  <c:v>-8.7321116931705651E-5</c:v>
                </c:pt>
                <c:pt idx="45">
                  <c:v>4.6112034342341728E-4</c:v>
                </c:pt>
                <c:pt idx="46">
                  <c:v>1.0604059260322385E-3</c:v>
                </c:pt>
                <c:pt idx="47">
                  <c:v>2.2014756091228273E-4</c:v>
                </c:pt>
                <c:pt idx="48">
                  <c:v>1.342881473345282E-3</c:v>
                </c:pt>
                <c:pt idx="49">
                  <c:v>1.1378235873656106E-4</c:v>
                </c:pt>
                <c:pt idx="50">
                  <c:v>2.0254246987261725E-3</c:v>
                </c:pt>
                <c:pt idx="51">
                  <c:v>1.0850692328836719E-3</c:v>
                </c:pt>
                <c:pt idx="52">
                  <c:v>-5.1005238038040468E-5</c:v>
                </c:pt>
                <c:pt idx="53">
                  <c:v>2.2660691563927736E-4</c:v>
                </c:pt>
                <c:pt idx="54">
                  <c:v>-1.9556055641685747E-3</c:v>
                </c:pt>
                <c:pt idx="55">
                  <c:v>2.6287519683070894E-4</c:v>
                </c:pt>
                <c:pt idx="56">
                  <c:v>-6.3899715018840564E-4</c:v>
                </c:pt>
                <c:pt idx="57">
                  <c:v>-7.8582409843277741E-4</c:v>
                </c:pt>
                <c:pt idx="58">
                  <c:v>1.0868142814390814E-3</c:v>
                </c:pt>
                <c:pt idx="59">
                  <c:v>-1.4945568685089576E-4</c:v>
                </c:pt>
                <c:pt idx="60">
                  <c:v>-2.2348034101134749E-4</c:v>
                </c:pt>
                <c:pt idx="61">
                  <c:v>1.279515428003966E-3</c:v>
                </c:pt>
                <c:pt idx="62">
                  <c:v>1.3163272233759084E-3</c:v>
                </c:pt>
                <c:pt idx="63">
                  <c:v>-1.3900115694205958E-3</c:v>
                </c:pt>
                <c:pt idx="64">
                  <c:v>-9.127957626138051E-4</c:v>
                </c:pt>
                <c:pt idx="65">
                  <c:v>7.5358122203138711E-4</c:v>
                </c:pt>
                <c:pt idx="66">
                  <c:v>2.4464099298812294E-3</c:v>
                </c:pt>
                <c:pt idx="67">
                  <c:v>-1.3597882259381343E-3</c:v>
                </c:pt>
                <c:pt idx="68">
                  <c:v>4.5177426515962283E-4</c:v>
                </c:pt>
                <c:pt idx="69">
                  <c:v>8.4598967403337437E-4</c:v>
                </c:pt>
                <c:pt idx="70">
                  <c:v>-1.5126798357817453E-3</c:v>
                </c:pt>
                <c:pt idx="71">
                  <c:v>-2.0626919567303466E-3</c:v>
                </c:pt>
                <c:pt idx="72">
                  <c:v>1.7091373450565963E-3</c:v>
                </c:pt>
                <c:pt idx="73">
                  <c:v>-2.6323682338164479E-3</c:v>
                </c:pt>
                <c:pt idx="74">
                  <c:v>-7.4649334840338425E-4</c:v>
                </c:pt>
                <c:pt idx="75">
                  <c:v>-7.305467293122717E-4</c:v>
                </c:pt>
                <c:pt idx="76">
                  <c:v>2.6629776784937364E-3</c:v>
                </c:pt>
                <c:pt idx="77">
                  <c:v>6.301867137032029E-4</c:v>
                </c:pt>
                <c:pt idx="78">
                  <c:v>-1.7633694504266221E-4</c:v>
                </c:pt>
                <c:pt idx="79">
                  <c:v>-3.7877311172457261E-3</c:v>
                </c:pt>
                <c:pt idx="80">
                  <c:v>1.1808837156547024E-3</c:v>
                </c:pt>
                <c:pt idx="81">
                  <c:v>-1.4320483897448351E-3</c:v>
                </c:pt>
                <c:pt idx="82">
                  <c:v>-1.5362213490749572E-3</c:v>
                </c:pt>
                <c:pt idx="83">
                  <c:v>5.2694923942102042E-4</c:v>
                </c:pt>
                <c:pt idx="84">
                  <c:v>9.9463112767767957E-4</c:v>
                </c:pt>
                <c:pt idx="85">
                  <c:v>7.0840741031534082E-4</c:v>
                </c:pt>
                <c:pt idx="86">
                  <c:v>-1.5486658569725774E-3</c:v>
                </c:pt>
                <c:pt idx="87">
                  <c:v>-3.1024458882189516E-3</c:v>
                </c:pt>
                <c:pt idx="88">
                  <c:v>-6.3110338327786262E-5</c:v>
                </c:pt>
                <c:pt idx="89">
                  <c:v>-1.6611185987500761E-4</c:v>
                </c:pt>
                <c:pt idx="90">
                  <c:v>-1.0653691396989001E-3</c:v>
                </c:pt>
                <c:pt idx="91">
                  <c:v>1.7911011219019968E-3</c:v>
                </c:pt>
                <c:pt idx="92">
                  <c:v>9.8981672734400807E-4</c:v>
                </c:pt>
                <c:pt idx="93">
                  <c:v>-5.8359880166023652E-4</c:v>
                </c:pt>
                <c:pt idx="94">
                  <c:v>7.2325369280424852E-4</c:v>
                </c:pt>
                <c:pt idx="95">
                  <c:v>-2.7821933332039445E-3</c:v>
                </c:pt>
                <c:pt idx="96">
                  <c:v>7.9294910554019479E-4</c:v>
                </c:pt>
                <c:pt idx="97">
                  <c:v>8.5820162281682833E-4</c:v>
                </c:pt>
                <c:pt idx="98">
                  <c:v>9.0688752176571103E-4</c:v>
                </c:pt>
                <c:pt idx="99">
                  <c:v>-9.7117478463895136E-4</c:v>
                </c:pt>
                <c:pt idx="100">
                  <c:v>2.6575798931589541E-4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F0-4308-A45D-4F9FD7A302A0}"/>
            </c:ext>
          </c:extLst>
        </c:ser>
        <c:ser>
          <c:idx val="0"/>
          <c:order val="1"/>
          <c:tx>
            <c:v>CML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'CAL CML SML'!$A$44:$A$49</c:f>
              <c:numCache>
                <c:formatCode>General</c:formatCode>
                <c:ptCount val="6"/>
                <c:pt idx="0">
                  <c:v>0</c:v>
                </c:pt>
                <c:pt idx="1">
                  <c:v>5.0000000000000001E-4</c:v>
                </c:pt>
                <c:pt idx="2" formatCode="0.000000000">
                  <c:v>1E-3</c:v>
                </c:pt>
                <c:pt idx="3">
                  <c:v>1.5E-3</c:v>
                </c:pt>
                <c:pt idx="4">
                  <c:v>5.0000000000000001E-3</c:v>
                </c:pt>
                <c:pt idx="5">
                  <c:v>6.4999999999999997E-3</c:v>
                </c:pt>
              </c:numCache>
            </c:numRef>
          </c:xVal>
          <c:yVal>
            <c:numRef>
              <c:f>'CAL CML SML'!$B$44:$B$49</c:f>
              <c:numCache>
                <c:formatCode>General</c:formatCode>
                <c:ptCount val="6"/>
                <c:pt idx="0">
                  <c:v>1.3746153846153847E-3</c:v>
                </c:pt>
                <c:pt idx="1">
                  <c:v>3.7896004768436329E-3</c:v>
                </c:pt>
                <c:pt idx="2">
                  <c:v>6.2045855690718811E-3</c:v>
                </c:pt>
                <c:pt idx="3">
                  <c:v>8.6195706613001292E-3</c:v>
                </c:pt>
                <c:pt idx="4">
                  <c:v>2.5524466306897867E-2</c:v>
                </c:pt>
                <c:pt idx="5">
                  <c:v>3.2769421583582613E-2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F0-4308-A45D-4F9FD7A30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747247"/>
        <c:axId val="1143894255"/>
      </c:scatterChart>
      <c:valAx>
        <c:axId val="111974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Risk</a:t>
                </a:r>
              </a:p>
            </c:rich>
          </c:tx>
          <c:overlay val="0"/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94255"/>
        <c:crosses val="autoZero"/>
        <c:crossBetween val="midCat"/>
      </c:valAx>
      <c:valAx>
        <c:axId val="114389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Return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472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'CAL CML SML'!$A$70:$A$74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 formatCode="0.000000000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xVal>
          <c:yVal>
            <c:numRef>
              <c:f>'CAL CML SML'!$B$70:$B$74</c:f>
              <c:numCache>
                <c:formatCode>General</c:formatCode>
                <c:ptCount val="5"/>
                <c:pt idx="0">
                  <c:v>1.3746153846153847E-3</c:v>
                </c:pt>
                <c:pt idx="1">
                  <c:v>5.0197517687176618E-3</c:v>
                </c:pt>
                <c:pt idx="2">
                  <c:v>8.6648881528199381E-3</c:v>
                </c:pt>
                <c:pt idx="3">
                  <c:v>1.2310024536922214E-2</c:v>
                </c:pt>
                <c:pt idx="4">
                  <c:v>1.5955160921024492E-2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5-43EA-93E0-75FA6BA1A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884255"/>
        <c:axId val="1279727071"/>
      </c:scatterChart>
      <c:valAx>
        <c:axId val="91388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7071"/>
        <c:crosses val="autoZero"/>
        <c:crossBetween val="midCat"/>
      </c:valAx>
      <c:valAx>
        <c:axId val="127972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8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42</xdr:row>
      <xdr:rowOff>53340</xdr:rowOff>
    </xdr:from>
    <xdr:to>
      <xdr:col>16</xdr:col>
      <xdr:colOff>960120</xdr:colOff>
      <xdr:row>62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8A0EF7-5D1A-1AC1-D8D2-BFFD54107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7</xdr:row>
      <xdr:rowOff>175260</xdr:rowOff>
    </xdr:from>
    <xdr:to>
      <xdr:col>14</xdr:col>
      <xdr:colOff>22860</xdr:colOff>
      <xdr:row>31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FBA63F-BDE4-4770-8876-F737901ED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243840</xdr:colOff>
      <xdr:row>37</xdr:row>
      <xdr:rowOff>22860</xdr:rowOff>
    </xdr:from>
    <xdr:to>
      <xdr:col>14</xdr:col>
      <xdr:colOff>487680</xdr:colOff>
      <xdr:row>59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500259-AF80-48CD-84D1-F3BF828D5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579120</xdr:colOff>
      <xdr:row>66</xdr:row>
      <xdr:rowOff>68580</xdr:rowOff>
    </xdr:from>
    <xdr:to>
      <xdr:col>9</xdr:col>
      <xdr:colOff>53340</xdr:colOff>
      <xdr:row>81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6C92C8-6E68-CFC2-F315-E393A2F45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F8276C6-1DB5-4320-B89A-0AD0A4D83BBD}" autoFormatId="16" applyNumberFormats="0" applyBorderFormats="0" applyFontFormats="0" applyPatternFormats="0" applyAlignmentFormats="0" applyWidthHeightFormats="0">
  <queryTableRefresh nextId="10" unboundColumnsRight="2">
    <queryTableFields count="4">
      <queryTableField id="1" name="Date" tableColumnId="1"/>
      <queryTableField id="6" name="Adj Close" tableColumnId="6"/>
      <queryTableField id="8" dataBound="0" tableColumnId="8"/>
      <queryTableField id="9" dataBound="0" tableColumnId="9"/>
    </queryTableFields>
    <queryTableDeletedFields count="5">
      <deletedField name="Open"/>
      <deletedField name="High"/>
      <deletedField name="Low"/>
      <deletedField name="Close"/>
      <deletedField name="Volu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BAA7E62-C389-40BC-BECB-F2B885B6AA83}" autoFormatId="16" applyNumberFormats="0" applyBorderFormats="0" applyFontFormats="0" applyPatternFormats="0" applyAlignmentFormats="0" applyWidthHeightFormats="0">
  <queryTableRefresh nextId="8">
    <queryTableFields count="2">
      <queryTableField id="1" name="Date" tableColumnId="1"/>
      <queryTableField id="6" name="Adj Close" tableColumnId="6"/>
    </queryTableFields>
    <queryTableDeletedFields count="5">
      <deletedField name="Open"/>
      <deletedField name="High"/>
      <deletedField name="Low"/>
      <deletedField name="Close"/>
      <deletedField name="Volu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5DD992-4E81-4BC1-B719-7DB6B557E5A2}" autoFormatId="16" applyNumberFormats="0" applyBorderFormats="0" applyFontFormats="0" applyPatternFormats="0" applyAlignmentFormats="0" applyWidthHeightFormats="0">
  <queryTableRefresh nextId="8">
    <queryTableFields count="2">
      <queryTableField id="1" name="Date" tableColumnId="1"/>
      <queryTableField id="6" name="Adj Close" tableColumnId="6"/>
    </queryTableFields>
    <queryTableDeletedFields count="5">
      <deletedField name="Open"/>
      <deletedField name="High"/>
      <deletedField name="Low"/>
      <deletedField name="Close"/>
      <deletedField name="Volu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9909C61-7F78-4D35-AD37-A19ED84DD044}" autoFormatId="16" applyNumberFormats="0" applyBorderFormats="0" applyFontFormats="0" applyPatternFormats="0" applyAlignmentFormats="0" applyWidthHeightFormats="0">
  <queryTableRefresh nextId="8">
    <queryTableFields count="2">
      <queryTableField id="1" name="Date" tableColumnId="1"/>
      <queryTableField id="6" name="Adj Close" tableColumnId="6"/>
    </queryTableFields>
    <queryTableDeletedFields count="5">
      <deletedField name="Open"/>
      <deletedField name="High"/>
      <deletedField name="Low"/>
      <deletedField name="Close"/>
      <deletedField name="Volum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A5D852B5-C85F-49C5-9A81-AE5C4D121229}" autoFormatId="16" applyNumberFormats="0" applyBorderFormats="0" applyFontFormats="0" applyPatternFormats="0" applyAlignmentFormats="0" applyWidthHeightFormats="0">
  <queryTableRefresh nextId="8">
    <queryTableFields count="2">
      <queryTableField id="1" name="Date" tableColumnId="1"/>
      <queryTableField id="6" name="Adj Close" tableColumnId="6"/>
    </queryTableFields>
    <queryTableDeletedFields count="5">
      <deletedField name="Open"/>
      <deletedField name="High"/>
      <deletedField name="Low"/>
      <deletedField name="Close"/>
      <deletedField name="Volu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94E5BA-FC87-41B5-96E5-A36DCA32D49A}" name="AAPL__2" displayName="AAPL__2" ref="A1:D106" tableType="queryTable" totalsRowShown="0">
  <autoFilter ref="A1:D106" xr:uid="{9594E5BA-FC87-41B5-96E5-A36DCA32D49A}"/>
  <tableColumns count="4">
    <tableColumn id="1" xr3:uid="{26B9C26B-AD5D-481D-84D9-A11A87EBD184}" uniqueName="1" name="Date" queryTableFieldId="1" dataDxfId="6"/>
    <tableColumn id="6" xr3:uid="{22194FD7-2B03-4DDB-B699-5C8E73A0E86A}" uniqueName="6" name="Adj Close" queryTableFieldId="6"/>
    <tableColumn id="8" xr3:uid="{0563C012-0EE1-49DA-9563-AD7BAAACAD8C}" uniqueName="8" name="Return" queryTableFieldId="8" dataDxfId="5">
      <calculatedColumnFormula>(B2-B1)/2</calculatedColumnFormula>
    </tableColumn>
    <tableColumn id="9" xr3:uid="{147871BE-17AE-4195-80D4-D110E26EF020}" uniqueName="9" name="Return +1" queryTableFieldId="9" dataDxfId="4">
      <calculatedColumnFormula>C2+1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F2055F-D203-4053-94D5-BD9AF8CFC531}" name="TSLA__1" displayName="TSLA__1" ref="A1:B106" tableType="queryTable" totalsRowShown="0">
  <autoFilter ref="A1:B106" xr:uid="{6BF2055F-D203-4053-94D5-BD9AF8CFC531}"/>
  <tableColumns count="2">
    <tableColumn id="1" xr3:uid="{843E045E-4230-4889-8C29-3B75CECEBA73}" uniqueName="1" name="Date" queryTableFieldId="1" dataDxfId="3"/>
    <tableColumn id="6" xr3:uid="{63BB7AC0-6BAB-4C29-976B-5A9B094B0E35}" uniqueName="6" name="Adj Clos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453306-7A5C-4A9A-8D4E-1B46BCC17505}" name="NKE" displayName="NKE" ref="A1:B106" tableType="queryTable" totalsRowShown="0">
  <autoFilter ref="A1:B106" xr:uid="{CB453306-7A5C-4A9A-8D4E-1B46BCC17505}"/>
  <tableColumns count="2">
    <tableColumn id="1" xr3:uid="{5B3AC5C4-B799-4C57-988D-E7442F12C22B}" uniqueName="1" name="Date" queryTableFieldId="1" dataDxfId="2"/>
    <tableColumn id="6" xr3:uid="{D5CCB503-700F-44D5-9F8B-FBAAA542EBD9}" uniqueName="6" name="Adj Clos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78A58B-4466-4F0D-8971-8BD54E081C1A}" name="WMT" displayName="WMT" ref="A1:B106" tableType="queryTable" totalsRowShown="0">
  <autoFilter ref="A1:B106" xr:uid="{5978A58B-4466-4F0D-8971-8BD54E081C1A}"/>
  <tableColumns count="2">
    <tableColumn id="1" xr3:uid="{BAD83F34-ACCD-404A-9472-8FBE5FA084BE}" uniqueName="1" name="Date" queryTableFieldId="1" dataDxfId="1"/>
    <tableColumn id="6" xr3:uid="{D6128BE2-134F-4FF2-BEC5-3A1CA706E527}" uniqueName="6" name="Adj Clos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A12E29-E993-45C9-B651-22F2AFCACB21}" name="XOM__1" displayName="XOM__1" ref="A1:B106" tableType="queryTable" totalsRowShown="0">
  <autoFilter ref="A1:B106" xr:uid="{38A12E29-E993-45C9-B651-22F2AFCACB21}"/>
  <tableColumns count="2">
    <tableColumn id="1" xr3:uid="{4F62F64E-1C3C-48C3-81BA-3F3989734906}" uniqueName="1" name="Date" queryTableFieldId="1" dataDxfId="0"/>
    <tableColumn id="6" xr3:uid="{18AE097C-B552-4C9E-B0DA-5738F240A603}" uniqueName="6" name="Adj Clos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6F43-D7B0-41FD-ABBF-84527B762800}">
  <dimension ref="A1:E110"/>
  <sheetViews>
    <sheetView tabSelected="1" workbookViewId="0">
      <selection activeCell="J19" sqref="J19"/>
    </sheetView>
  </sheetViews>
  <sheetFormatPr defaultRowHeight="14.4" x14ac:dyDescent="0.3"/>
  <cols>
    <col min="1" max="1" width="10.5546875" bestFit="1" customWidth="1"/>
    <col min="2" max="2" width="11" bestFit="1" customWidth="1"/>
    <col min="3" max="3" width="14" customWidth="1"/>
    <col min="4" max="4" width="15.1093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">
      <c r="A2" s="1">
        <v>44197</v>
      </c>
      <c r="B2">
        <v>128817429</v>
      </c>
    </row>
    <row r="3" spans="1:5" x14ac:dyDescent="0.3">
      <c r="A3" s="1">
        <v>44204</v>
      </c>
      <c r="B3">
        <v>126839706</v>
      </c>
      <c r="C3">
        <f>(B3-B2)/B2</f>
        <v>-1.535291470535404E-2</v>
      </c>
      <c r="D3">
        <f t="shared" ref="D3:D33" si="0">C3+1</f>
        <v>0.98464708529464595</v>
      </c>
    </row>
    <row r="4" spans="1:5" x14ac:dyDescent="0.3">
      <c r="A4" s="1">
        <v>44211</v>
      </c>
      <c r="B4">
        <v>134671875</v>
      </c>
      <c r="C4">
        <f t="shared" ref="C4:C67" si="1">(B4-B3)/B3</f>
        <v>6.1748558452193195E-2</v>
      </c>
      <c r="D4">
        <f t="shared" si="0"/>
        <v>1.0617485584521933</v>
      </c>
    </row>
    <row r="5" spans="1:5" x14ac:dyDescent="0.3">
      <c r="A5" s="1">
        <v>44218</v>
      </c>
      <c r="B5">
        <v>134888336</v>
      </c>
      <c r="C5">
        <f t="shared" si="1"/>
        <v>1.6073214990138067E-3</v>
      </c>
      <c r="D5">
        <f t="shared" si="0"/>
        <v>1.0016073214990138</v>
      </c>
    </row>
    <row r="6" spans="1:5" x14ac:dyDescent="0.3">
      <c r="A6" s="1">
        <v>44225</v>
      </c>
      <c r="B6">
        <v>135183533</v>
      </c>
      <c r="C6">
        <f t="shared" si="1"/>
        <v>2.1884546044070113E-3</v>
      </c>
      <c r="D6">
        <f t="shared" si="0"/>
        <v>1.0021884546044071</v>
      </c>
    </row>
    <row r="7" spans="1:5" x14ac:dyDescent="0.3">
      <c r="A7" s="1">
        <v>44232</v>
      </c>
      <c r="B7">
        <v>132959824</v>
      </c>
      <c r="C7">
        <f t="shared" si="1"/>
        <v>-1.6449555287181318E-2</v>
      </c>
      <c r="D7">
        <f t="shared" si="0"/>
        <v>0.98355044471281872</v>
      </c>
    </row>
    <row r="8" spans="1:5" x14ac:dyDescent="0.3">
      <c r="A8" s="1">
        <v>44239</v>
      </c>
      <c r="B8">
        <v>127817604</v>
      </c>
      <c r="C8">
        <f t="shared" si="1"/>
        <v>-3.8674991025860563E-2</v>
      </c>
      <c r="D8">
        <f t="shared" si="0"/>
        <v>0.96132500897413942</v>
      </c>
    </row>
    <row r="9" spans="1:5" x14ac:dyDescent="0.3">
      <c r="A9" s="1">
        <v>44246</v>
      </c>
      <c r="B9">
        <v>119224815</v>
      </c>
      <c r="C9">
        <f t="shared" si="1"/>
        <v>-6.7226960380199277E-2</v>
      </c>
      <c r="D9">
        <f t="shared" si="0"/>
        <v>0.93277303961980074</v>
      </c>
    </row>
    <row r="10" spans="1:5" x14ac:dyDescent="0.3">
      <c r="A10" s="1">
        <v>44253</v>
      </c>
      <c r="B10">
        <v>118377350</v>
      </c>
      <c r="C10">
        <f t="shared" si="1"/>
        <v>-7.1081259383795224E-3</v>
      </c>
      <c r="D10">
        <f t="shared" si="0"/>
        <v>0.99289187406162049</v>
      </c>
    </row>
    <row r="11" spans="1:5" x14ac:dyDescent="0.3">
      <c r="A11" s="1">
        <v>44260</v>
      </c>
      <c r="B11">
        <v>120180672</v>
      </c>
      <c r="C11">
        <f t="shared" si="1"/>
        <v>1.5233674347330802E-2</v>
      </c>
      <c r="D11">
        <f t="shared" si="0"/>
        <v>1.0152336743473307</v>
      </c>
    </row>
    <row r="12" spans="1:5" x14ac:dyDescent="0.3">
      <c r="A12" s="1">
        <v>44267</v>
      </c>
      <c r="B12">
        <v>118771530</v>
      </c>
      <c r="C12">
        <f t="shared" si="1"/>
        <v>-1.1725196544083228E-2</v>
      </c>
      <c r="D12">
        <f t="shared" si="0"/>
        <v>0.98827480345591678</v>
      </c>
    </row>
    <row r="13" spans="1:5" x14ac:dyDescent="0.3">
      <c r="A13" s="1">
        <v>44274</v>
      </c>
      <c r="B13">
        <v>118830643</v>
      </c>
      <c r="C13">
        <f t="shared" si="1"/>
        <v>4.9770344795592003E-4</v>
      </c>
      <c r="D13">
        <f t="shared" si="0"/>
        <v>1.0004977034479559</v>
      </c>
    </row>
    <row r="14" spans="1:5" x14ac:dyDescent="0.3">
      <c r="A14" s="1">
        <v>44281</v>
      </c>
      <c r="B14">
        <v>121205490</v>
      </c>
      <c r="C14">
        <f t="shared" si="1"/>
        <v>1.9985139691619778E-2</v>
      </c>
      <c r="D14">
        <f t="shared" si="0"/>
        <v>1.0199851396916197</v>
      </c>
    </row>
    <row r="15" spans="1:5" x14ac:dyDescent="0.3">
      <c r="A15" s="1">
        <v>44288</v>
      </c>
      <c r="B15">
        <v>128458130</v>
      </c>
      <c r="C15">
        <f t="shared" si="1"/>
        <v>5.9837553562961547E-2</v>
      </c>
      <c r="D15">
        <f t="shared" si="0"/>
        <v>1.0598375535629616</v>
      </c>
    </row>
    <row r="16" spans="1:5" x14ac:dyDescent="0.3">
      <c r="A16" s="1">
        <v>44295</v>
      </c>
      <c r="B16">
        <v>132537720</v>
      </c>
      <c r="C16">
        <f t="shared" si="1"/>
        <v>3.1758130061522769E-2</v>
      </c>
      <c r="D16">
        <f t="shared" si="0"/>
        <v>1.0317581300615228</v>
      </c>
    </row>
    <row r="17" spans="1:4" x14ac:dyDescent="0.3">
      <c r="A17" s="1">
        <v>44302</v>
      </c>
      <c r="B17">
        <v>130015060</v>
      </c>
      <c r="C17">
        <f t="shared" si="1"/>
        <v>-1.9033524946709509E-2</v>
      </c>
      <c r="D17">
        <f t="shared" si="0"/>
        <v>0.98096647505329049</v>
      </c>
    </row>
    <row r="18" spans="1:4" x14ac:dyDescent="0.3">
      <c r="A18" s="1">
        <v>44309</v>
      </c>
      <c r="B18">
        <v>131532593</v>
      </c>
      <c r="C18">
        <f t="shared" si="1"/>
        <v>1.16719786154004E-2</v>
      </c>
      <c r="D18">
        <f t="shared" si="0"/>
        <v>1.0116719786154005</v>
      </c>
    </row>
    <row r="19" spans="1:4" x14ac:dyDescent="0.3">
      <c r="A19" s="1">
        <v>44316</v>
      </c>
      <c r="B19">
        <v>127847130</v>
      </c>
      <c r="C19">
        <f t="shared" si="1"/>
        <v>-2.801938984050896E-2</v>
      </c>
      <c r="D19">
        <f t="shared" si="0"/>
        <v>0.971980610159491</v>
      </c>
    </row>
    <row r="20" spans="1:4" x14ac:dyDescent="0.3">
      <c r="A20" s="1">
        <v>44323</v>
      </c>
      <c r="B20">
        <v>123146751</v>
      </c>
      <c r="C20">
        <f t="shared" si="1"/>
        <v>-3.6765620002576514E-2</v>
      </c>
      <c r="D20">
        <f t="shared" si="0"/>
        <v>0.96323437999742345</v>
      </c>
    </row>
    <row r="21" spans="1:4" x14ac:dyDescent="0.3">
      <c r="A21" s="1">
        <v>44330</v>
      </c>
      <c r="B21">
        <v>125665680</v>
      </c>
      <c r="C21">
        <f t="shared" si="1"/>
        <v>2.0454693116507799E-2</v>
      </c>
      <c r="D21">
        <f t="shared" si="0"/>
        <v>1.0204546931165077</v>
      </c>
    </row>
    <row r="22" spans="1:4" x14ac:dyDescent="0.3">
      <c r="A22" s="1">
        <v>44337</v>
      </c>
      <c r="B22">
        <v>123661919</v>
      </c>
      <c r="C22">
        <f t="shared" si="1"/>
        <v>-1.5945172938227843E-2</v>
      </c>
      <c r="D22">
        <f t="shared" si="0"/>
        <v>0.98405482706177216</v>
      </c>
    </row>
    <row r="23" spans="1:4" x14ac:dyDescent="0.3">
      <c r="A23" s="1">
        <v>44344</v>
      </c>
      <c r="B23">
        <v>121944382</v>
      </c>
      <c r="C23">
        <f t="shared" si="1"/>
        <v>-1.388897256236174E-2</v>
      </c>
      <c r="D23">
        <f t="shared" si="0"/>
        <v>0.98611102743763823</v>
      </c>
    </row>
    <row r="24" spans="1:4" x14ac:dyDescent="0.3">
      <c r="A24" s="1">
        <v>44351</v>
      </c>
      <c r="B24">
        <v>124481178</v>
      </c>
      <c r="C24">
        <f t="shared" si="1"/>
        <v>2.0802893568315432E-2</v>
      </c>
      <c r="D24">
        <f t="shared" si="0"/>
        <v>1.0208028935683153</v>
      </c>
    </row>
    <row r="25" spans="1:4" x14ac:dyDescent="0.3">
      <c r="A25" s="1">
        <v>44358</v>
      </c>
      <c r="B25">
        <v>130087830</v>
      </c>
      <c r="C25">
        <f t="shared" si="1"/>
        <v>4.504015860132686E-2</v>
      </c>
      <c r="D25">
        <f t="shared" si="0"/>
        <v>1.0450401586013269</v>
      </c>
    </row>
    <row r="26" spans="1:4" x14ac:dyDescent="0.3">
      <c r="A26" s="1">
        <v>44365</v>
      </c>
      <c r="B26">
        <v>131686920</v>
      </c>
      <c r="C26">
        <f t="shared" si="1"/>
        <v>1.2292387381663604E-2</v>
      </c>
      <c r="D26">
        <f t="shared" si="0"/>
        <v>1.0122923873816636</v>
      </c>
    </row>
    <row r="27" spans="1:4" x14ac:dyDescent="0.3">
      <c r="A27" s="1">
        <v>44372</v>
      </c>
      <c r="B27">
        <v>135497086</v>
      </c>
      <c r="C27">
        <f t="shared" si="1"/>
        <v>2.8933518985788415E-2</v>
      </c>
      <c r="D27">
        <f t="shared" si="0"/>
        <v>1.0289335189857884</v>
      </c>
    </row>
    <row r="28" spans="1:4" x14ac:dyDescent="0.3">
      <c r="A28" s="1">
        <v>44379</v>
      </c>
      <c r="B28">
        <v>141389938</v>
      </c>
      <c r="C28">
        <f t="shared" si="1"/>
        <v>4.3490617945835384E-2</v>
      </c>
      <c r="D28">
        <f t="shared" si="0"/>
        <v>1.0434906179458354</v>
      </c>
    </row>
    <row r="29" spans="1:4" x14ac:dyDescent="0.3">
      <c r="A29" s="1">
        <v>44386</v>
      </c>
      <c r="B29">
        <v>146562256</v>
      </c>
      <c r="C29">
        <f t="shared" si="1"/>
        <v>3.6581938383762502E-2</v>
      </c>
      <c r="D29">
        <f t="shared" si="0"/>
        <v>1.0365819383837624</v>
      </c>
    </row>
    <row r="30" spans="1:4" x14ac:dyDescent="0.3">
      <c r="A30" s="1">
        <v>44393</v>
      </c>
      <c r="B30">
        <v>144903976</v>
      </c>
      <c r="C30">
        <f t="shared" si="1"/>
        <v>-1.1314509241724554E-2</v>
      </c>
      <c r="D30">
        <f t="shared" si="0"/>
        <v>0.9886854907582755</v>
      </c>
    </row>
    <row r="31" spans="1:4" x14ac:dyDescent="0.3">
      <c r="A31" s="1">
        <v>44400</v>
      </c>
      <c r="B31">
        <v>143758942</v>
      </c>
      <c r="C31">
        <f t="shared" si="1"/>
        <v>-7.9020191964918884E-3</v>
      </c>
      <c r="D31">
        <f t="shared" si="0"/>
        <v>0.99209798080350808</v>
      </c>
    </row>
    <row r="32" spans="1:4" x14ac:dyDescent="0.3">
      <c r="A32" s="1">
        <v>44407</v>
      </c>
      <c r="B32">
        <v>145160629</v>
      </c>
      <c r="C32">
        <f t="shared" si="1"/>
        <v>9.7502595699403526E-3</v>
      </c>
      <c r="D32">
        <f t="shared" si="0"/>
        <v>1.0097502595699404</v>
      </c>
    </row>
    <row r="33" spans="1:4" x14ac:dyDescent="0.3">
      <c r="A33" s="1">
        <v>44414</v>
      </c>
      <c r="B33">
        <v>146966965</v>
      </c>
      <c r="C33">
        <f t="shared" si="1"/>
        <v>1.2443704690753303E-2</v>
      </c>
      <c r="D33">
        <f t="shared" si="0"/>
        <v>1.0124437046907533</v>
      </c>
    </row>
    <row r="34" spans="1:4" x14ac:dyDescent="0.3">
      <c r="A34" s="1">
        <v>44421</v>
      </c>
      <c r="B34">
        <v>145022186</v>
      </c>
      <c r="C34">
        <f t="shared" si="1"/>
        <v>-1.3232762886543925E-2</v>
      </c>
      <c r="D34">
        <f t="shared" ref="D34:D65" si="2">C34+1</f>
        <v>0.98676723711345604</v>
      </c>
    </row>
    <row r="35" spans="1:4" x14ac:dyDescent="0.3">
      <c r="A35" s="1">
        <v>44428</v>
      </c>
      <c r="B35">
        <v>145852615</v>
      </c>
      <c r="C35">
        <f t="shared" si="1"/>
        <v>5.7262204005116843E-3</v>
      </c>
      <c r="D35">
        <f t="shared" si="2"/>
        <v>1.0057262204005117</v>
      </c>
    </row>
    <row r="36" spans="1:4" x14ac:dyDescent="0.3">
      <c r="A36" s="1">
        <v>44435</v>
      </c>
      <c r="B36">
        <v>151892715</v>
      </c>
      <c r="C36">
        <f t="shared" si="1"/>
        <v>4.1412353148416299E-2</v>
      </c>
      <c r="D36">
        <f t="shared" si="2"/>
        <v>1.0414123531484163</v>
      </c>
    </row>
    <row r="37" spans="1:4" x14ac:dyDescent="0.3">
      <c r="A37" s="1">
        <v>44442</v>
      </c>
      <c r="B37">
        <v>152307922</v>
      </c>
      <c r="C37">
        <f t="shared" si="1"/>
        <v>2.7335544038435285E-3</v>
      </c>
      <c r="D37">
        <f t="shared" si="2"/>
        <v>1.0027335544038436</v>
      </c>
    </row>
    <row r="38" spans="1:4" x14ac:dyDescent="0.3">
      <c r="A38" s="1">
        <v>44449</v>
      </c>
      <c r="B38">
        <v>147088303</v>
      </c>
      <c r="C38">
        <f t="shared" si="1"/>
        <v>-3.4270174075383943E-2</v>
      </c>
      <c r="D38">
        <f t="shared" si="2"/>
        <v>0.96572982592461609</v>
      </c>
    </row>
    <row r="39" spans="1:4" x14ac:dyDescent="0.3">
      <c r="A39" s="1">
        <v>44456</v>
      </c>
      <c r="B39">
        <v>145150726</v>
      </c>
      <c r="C39">
        <f t="shared" si="1"/>
        <v>-1.3172882958612964E-2</v>
      </c>
      <c r="D39">
        <f t="shared" si="2"/>
        <v>0.98682711704138704</v>
      </c>
    </row>
    <row r="40" spans="1:4" x14ac:dyDescent="0.3">
      <c r="A40" s="1">
        <v>44463</v>
      </c>
      <c r="B40">
        <v>139881668</v>
      </c>
      <c r="C40">
        <f t="shared" si="1"/>
        <v>-3.6300596939487575E-2</v>
      </c>
      <c r="D40">
        <f t="shared" si="2"/>
        <v>0.96369940306051238</v>
      </c>
    </row>
    <row r="41" spans="1:4" x14ac:dyDescent="0.3">
      <c r="A41" s="1">
        <v>44470</v>
      </c>
      <c r="B41">
        <v>141651199</v>
      </c>
      <c r="C41">
        <f t="shared" si="1"/>
        <v>1.2650199452868978E-2</v>
      </c>
      <c r="D41">
        <f t="shared" si="2"/>
        <v>1.0126501994528689</v>
      </c>
    </row>
    <row r="42" spans="1:4" x14ac:dyDescent="0.3">
      <c r="A42" s="1">
        <v>44477</v>
      </c>
      <c r="B42">
        <v>142115829</v>
      </c>
      <c r="C42">
        <f t="shared" si="1"/>
        <v>3.2800993092899976E-3</v>
      </c>
      <c r="D42">
        <f t="shared" si="2"/>
        <v>1.0032800993092901</v>
      </c>
    </row>
    <row r="43" spans="1:4" x14ac:dyDescent="0.3">
      <c r="A43" s="1">
        <v>44484</v>
      </c>
      <c r="B43">
        <v>147770416</v>
      </c>
      <c r="C43">
        <f t="shared" si="1"/>
        <v>3.9788579778822525E-2</v>
      </c>
      <c r="D43">
        <f t="shared" si="2"/>
        <v>1.0397885797788224</v>
      </c>
    </row>
    <row r="44" spans="1:4" x14ac:dyDescent="0.3">
      <c r="A44" s="1">
        <v>44491</v>
      </c>
      <c r="B44">
        <v>150825073</v>
      </c>
      <c r="C44">
        <f t="shared" si="1"/>
        <v>2.0671641067857589E-2</v>
      </c>
      <c r="D44">
        <f t="shared" si="2"/>
        <v>1.0206716410678576</v>
      </c>
    </row>
    <row r="45" spans="1:4" x14ac:dyDescent="0.3">
      <c r="A45" s="1">
        <v>44498</v>
      </c>
      <c r="B45">
        <v>149233490</v>
      </c>
      <c r="C45">
        <f t="shared" si="1"/>
        <v>-1.055250939610021E-2</v>
      </c>
      <c r="D45">
        <f t="shared" si="2"/>
        <v>0.9894474906038998</v>
      </c>
    </row>
    <row r="46" spans="1:4" x14ac:dyDescent="0.3">
      <c r="A46" s="1">
        <v>44505</v>
      </c>
      <c r="B46">
        <v>146178818</v>
      </c>
      <c r="C46">
        <f t="shared" si="1"/>
        <v>-2.0469078354999271E-2</v>
      </c>
      <c r="D46">
        <f t="shared" si="2"/>
        <v>0.97953092164500077</v>
      </c>
    </row>
    <row r="47" spans="1:4" x14ac:dyDescent="0.3">
      <c r="A47" s="1">
        <v>44512</v>
      </c>
      <c r="B47">
        <v>156292221</v>
      </c>
      <c r="C47">
        <f t="shared" si="1"/>
        <v>6.9185146920533999E-2</v>
      </c>
      <c r="D47">
        <f t="shared" si="2"/>
        <v>1.069185146920534</v>
      </c>
    </row>
    <row r="48" spans="1:4" x14ac:dyDescent="0.3">
      <c r="A48" s="1">
        <v>44519</v>
      </c>
      <c r="B48">
        <v>160321579</v>
      </c>
      <c r="C48">
        <f t="shared" si="1"/>
        <v>2.5780924822867545E-2</v>
      </c>
      <c r="D48">
        <f t="shared" si="2"/>
        <v>1.0257809248228675</v>
      </c>
    </row>
    <row r="49" spans="1:4" x14ac:dyDescent="0.3">
      <c r="A49" s="1">
        <v>44526</v>
      </c>
      <c r="B49">
        <v>162123367</v>
      </c>
      <c r="C49">
        <f t="shared" si="1"/>
        <v>1.123858691536465E-2</v>
      </c>
      <c r="D49">
        <f t="shared" si="2"/>
        <v>1.0112385869153646</v>
      </c>
    </row>
    <row r="50" spans="1:4" x14ac:dyDescent="0.3">
      <c r="A50" s="1">
        <v>44533</v>
      </c>
      <c r="B50">
        <v>172815430</v>
      </c>
      <c r="C50">
        <f t="shared" si="1"/>
        <v>6.5950166208921635E-2</v>
      </c>
      <c r="D50">
        <f t="shared" si="2"/>
        <v>1.0659501662089217</v>
      </c>
    </row>
    <row r="51" spans="1:4" x14ac:dyDescent="0.3">
      <c r="A51" s="1">
        <v>44540</v>
      </c>
      <c r="B51">
        <v>170538406</v>
      </c>
      <c r="C51">
        <f t="shared" si="1"/>
        <v>-1.3176045680643216E-2</v>
      </c>
      <c r="D51">
        <f t="shared" si="2"/>
        <v>0.98682395431935677</v>
      </c>
    </row>
    <row r="52" spans="1:4" x14ac:dyDescent="0.3">
      <c r="A52" s="1">
        <v>44547</v>
      </c>
      <c r="B52">
        <v>174518250</v>
      </c>
      <c r="C52">
        <f t="shared" si="1"/>
        <v>2.3336936783612251E-2</v>
      </c>
      <c r="D52">
        <f t="shared" si="2"/>
        <v>1.0233369367836123</v>
      </c>
    </row>
    <row r="53" spans="1:4" x14ac:dyDescent="0.3">
      <c r="A53" s="1">
        <v>44554</v>
      </c>
      <c r="B53">
        <v>176419052</v>
      </c>
      <c r="C53">
        <f t="shared" si="1"/>
        <v>1.0891709033295945E-2</v>
      </c>
      <c r="D53">
        <f t="shared" si="2"/>
        <v>1.0108917090332958</v>
      </c>
    </row>
    <row r="54" spans="1:4" x14ac:dyDescent="0.3">
      <c r="A54" s="1">
        <v>44561</v>
      </c>
      <c r="B54">
        <v>170281021</v>
      </c>
      <c r="C54">
        <f t="shared" si="1"/>
        <v>-3.4792336374191601E-2</v>
      </c>
      <c r="D54">
        <f t="shared" si="2"/>
        <v>0.96520766362580845</v>
      </c>
    </row>
    <row r="55" spans="1:4" x14ac:dyDescent="0.3">
      <c r="A55" s="1">
        <v>44568</v>
      </c>
      <c r="B55">
        <v>170469131</v>
      </c>
      <c r="C55">
        <f t="shared" si="1"/>
        <v>1.1047032657855629E-3</v>
      </c>
      <c r="D55">
        <f t="shared" si="2"/>
        <v>1.0011047032657856</v>
      </c>
    </row>
    <row r="56" spans="1:4" x14ac:dyDescent="0.3">
      <c r="A56" s="1">
        <v>44575</v>
      </c>
      <c r="B56">
        <v>162865875</v>
      </c>
      <c r="C56">
        <f t="shared" si="1"/>
        <v>-4.4601952009716062E-2</v>
      </c>
      <c r="D56">
        <f t="shared" si="2"/>
        <v>0.95539804799028394</v>
      </c>
    </row>
    <row r="57" spans="1:4" x14ac:dyDescent="0.3">
      <c r="A57" s="1">
        <v>44582</v>
      </c>
      <c r="B57">
        <v>157628738</v>
      </c>
      <c r="C57">
        <f t="shared" si="1"/>
        <v>-3.2156134610764837E-2</v>
      </c>
      <c r="D57">
        <f t="shared" si="2"/>
        <v>0.96784386538923517</v>
      </c>
    </row>
    <row r="58" spans="1:4" x14ac:dyDescent="0.3">
      <c r="A58" s="1">
        <v>44589</v>
      </c>
      <c r="B58">
        <v>171171997</v>
      </c>
      <c r="C58">
        <f t="shared" si="1"/>
        <v>8.5918717435903097E-2</v>
      </c>
      <c r="D58">
        <f t="shared" si="2"/>
        <v>1.0859187174359031</v>
      </c>
    </row>
    <row r="59" spans="1:4" x14ac:dyDescent="0.3">
      <c r="A59" s="1">
        <v>44596</v>
      </c>
      <c r="B59">
        <v>170399796</v>
      </c>
      <c r="C59">
        <f t="shared" si="1"/>
        <v>-4.5112577613965676E-3</v>
      </c>
      <c r="D59">
        <f t="shared" si="2"/>
        <v>0.9954887422386034</v>
      </c>
    </row>
    <row r="60" spans="1:4" x14ac:dyDescent="0.3">
      <c r="A60" s="1">
        <v>44603</v>
      </c>
      <c r="B60">
        <v>167405228</v>
      </c>
      <c r="C60">
        <f t="shared" si="1"/>
        <v>-1.7573776907573294E-2</v>
      </c>
      <c r="D60">
        <f t="shared" si="2"/>
        <v>0.98242622309242666</v>
      </c>
    </row>
    <row r="61" spans="1:4" x14ac:dyDescent="0.3">
      <c r="A61" s="1">
        <v>44610</v>
      </c>
      <c r="B61">
        <v>161318832</v>
      </c>
      <c r="C61">
        <f t="shared" si="1"/>
        <v>-3.6357263585579301E-2</v>
      </c>
      <c r="D61">
        <f t="shared" si="2"/>
        <v>0.96364273641442066</v>
      </c>
    </row>
    <row r="62" spans="1:4" x14ac:dyDescent="0.3">
      <c r="A62" s="1">
        <v>44617</v>
      </c>
      <c r="B62">
        <v>164778336</v>
      </c>
      <c r="C62">
        <f t="shared" si="1"/>
        <v>2.1445134192392367E-2</v>
      </c>
      <c r="D62">
        <f t="shared" si="2"/>
        <v>1.0214451341923925</v>
      </c>
    </row>
    <row r="63" spans="1:4" x14ac:dyDescent="0.3">
      <c r="A63" s="1">
        <v>44624</v>
      </c>
      <c r="B63">
        <v>157135696</v>
      </c>
      <c r="C63">
        <f t="shared" si="1"/>
        <v>-4.6381339838266117E-2</v>
      </c>
      <c r="D63">
        <f t="shared" si="2"/>
        <v>0.95361866016173391</v>
      </c>
    </row>
    <row r="64" spans="1:4" x14ac:dyDescent="0.3">
      <c r="A64" s="1">
        <v>44631</v>
      </c>
      <c r="B64">
        <v>159217331</v>
      </c>
      <c r="C64">
        <f t="shared" si="1"/>
        <v>1.3247371876597663E-2</v>
      </c>
      <c r="D64">
        <f t="shared" si="2"/>
        <v>1.0132473718765977</v>
      </c>
    </row>
    <row r="65" spans="1:4" x14ac:dyDescent="0.3">
      <c r="A65" s="1">
        <v>44638</v>
      </c>
      <c r="B65">
        <v>172549896</v>
      </c>
      <c r="C65">
        <f t="shared" si="1"/>
        <v>8.3738151596072161E-2</v>
      </c>
      <c r="D65">
        <f t="shared" si="2"/>
        <v>1.0837381515960722</v>
      </c>
    </row>
    <row r="66" spans="1:4" x14ac:dyDescent="0.3">
      <c r="A66" s="1">
        <v>44645</v>
      </c>
      <c r="B66">
        <v>173085175</v>
      </c>
      <c r="C66">
        <f t="shared" si="1"/>
        <v>3.1021693574361819E-3</v>
      </c>
      <c r="D66">
        <f t="shared" ref="D66:D97" si="3">C66+1</f>
        <v>1.0031021693574362</v>
      </c>
    </row>
    <row r="67" spans="1:4" x14ac:dyDescent="0.3">
      <c r="A67" s="1">
        <v>44652</v>
      </c>
      <c r="B67">
        <v>170636734</v>
      </c>
      <c r="C67">
        <f t="shared" si="1"/>
        <v>-1.4145873556184116E-2</v>
      </c>
      <c r="D67">
        <f t="shared" si="3"/>
        <v>0.98585412644381587</v>
      </c>
    </row>
    <row r="68" spans="1:4" x14ac:dyDescent="0.3">
      <c r="A68" s="1">
        <v>44659</v>
      </c>
      <c r="B68">
        <v>163846542</v>
      </c>
      <c r="C68">
        <f t="shared" ref="C68:C106" si="4">(B68-B67)/B67</f>
        <v>-3.9793260459380336E-2</v>
      </c>
      <c r="D68">
        <f t="shared" si="3"/>
        <v>0.96020673954061964</v>
      </c>
    </row>
    <row r="69" spans="1:4" x14ac:dyDescent="0.3">
      <c r="A69" s="1">
        <v>44666</v>
      </c>
      <c r="B69">
        <v>164966690</v>
      </c>
      <c r="C69">
        <f t="shared" si="4"/>
        <v>6.8365678416331789E-3</v>
      </c>
      <c r="D69">
        <f t="shared" si="3"/>
        <v>1.0068365678416331</v>
      </c>
    </row>
    <row r="70" spans="1:4" x14ac:dyDescent="0.3">
      <c r="A70" s="1">
        <v>44673</v>
      </c>
      <c r="B70">
        <v>162210983</v>
      </c>
      <c r="C70">
        <f t="shared" si="4"/>
        <v>-1.6704626855276055E-2</v>
      </c>
      <c r="D70">
        <f t="shared" si="3"/>
        <v>0.98329537314472393</v>
      </c>
    </row>
    <row r="71" spans="1:4" x14ac:dyDescent="0.3">
      <c r="A71" s="1">
        <v>44680</v>
      </c>
      <c r="B71">
        <v>155400970</v>
      </c>
      <c r="C71">
        <f t="shared" si="4"/>
        <v>-4.1982440856054737E-2</v>
      </c>
      <c r="D71">
        <f t="shared" si="3"/>
        <v>0.95801755914394526</v>
      </c>
    </row>
    <row r="72" spans="1:4" x14ac:dyDescent="0.3">
      <c r="A72" s="1">
        <v>44687</v>
      </c>
      <c r="B72">
        <v>141315048</v>
      </c>
      <c r="C72">
        <f t="shared" si="4"/>
        <v>-9.0642432926898719E-2</v>
      </c>
      <c r="D72">
        <f t="shared" si="3"/>
        <v>0.90935756707310134</v>
      </c>
    </row>
    <row r="73" spans="1:4" x14ac:dyDescent="0.3">
      <c r="A73" s="1">
        <v>44694</v>
      </c>
      <c r="B73">
        <v>136350601</v>
      </c>
      <c r="C73">
        <f t="shared" si="4"/>
        <v>-3.5130349317080513E-2</v>
      </c>
      <c r="D73">
        <f t="shared" si="3"/>
        <v>0.96486965068291952</v>
      </c>
    </row>
    <row r="74" spans="1:4" x14ac:dyDescent="0.3">
      <c r="A74" s="1">
        <v>44701</v>
      </c>
      <c r="B74">
        <v>142733810</v>
      </c>
      <c r="C74">
        <f t="shared" si="4"/>
        <v>4.6814674472905334E-2</v>
      </c>
      <c r="D74">
        <f t="shared" si="3"/>
        <v>1.0468146744729054</v>
      </c>
    </row>
    <row r="75" spans="1:4" x14ac:dyDescent="0.3">
      <c r="A75" s="1">
        <v>44708</v>
      </c>
      <c r="B75">
        <v>150109756</v>
      </c>
      <c r="C75">
        <f t="shared" si="4"/>
        <v>5.1676235644518981E-2</v>
      </c>
      <c r="D75">
        <f t="shared" si="3"/>
        <v>1.0516762356445191</v>
      </c>
    </row>
    <row r="76" spans="1:4" x14ac:dyDescent="0.3">
      <c r="A76" s="1">
        <v>44715</v>
      </c>
      <c r="B76">
        <v>141602112</v>
      </c>
      <c r="C76">
        <f t="shared" si="4"/>
        <v>-5.6676156345227824E-2</v>
      </c>
      <c r="D76">
        <f t="shared" si="3"/>
        <v>0.94332384365477218</v>
      </c>
    </row>
    <row r="77" spans="1:4" x14ac:dyDescent="0.3">
      <c r="A77" s="1">
        <v>44722</v>
      </c>
      <c r="B77">
        <v>129113632</v>
      </c>
      <c r="C77">
        <f t="shared" si="4"/>
        <v>-8.8194164787598645E-2</v>
      </c>
      <c r="D77">
        <f t="shared" si="3"/>
        <v>0.91180583521240133</v>
      </c>
    </row>
    <row r="78" spans="1:4" x14ac:dyDescent="0.3">
      <c r="A78" s="1">
        <v>44729</v>
      </c>
      <c r="B78">
        <v>137263916</v>
      </c>
      <c r="C78">
        <f t="shared" si="4"/>
        <v>6.3124891413479878E-2</v>
      </c>
      <c r="D78">
        <f t="shared" si="3"/>
        <v>1.0631248914134799</v>
      </c>
    </row>
    <row r="79" spans="1:4" x14ac:dyDescent="0.3">
      <c r="A79" s="1">
        <v>44736</v>
      </c>
      <c r="B79">
        <v>135725204</v>
      </c>
      <c r="C79">
        <f t="shared" si="4"/>
        <v>-1.1209879805556473E-2</v>
      </c>
      <c r="D79">
        <f t="shared" si="3"/>
        <v>0.98879012019444357</v>
      </c>
    </row>
    <row r="80" spans="1:4" x14ac:dyDescent="0.3">
      <c r="A80" s="1">
        <v>44743</v>
      </c>
      <c r="B80">
        <v>145285110</v>
      </c>
      <c r="C80">
        <f t="shared" si="4"/>
        <v>7.0435746038738686E-2</v>
      </c>
      <c r="D80">
        <f t="shared" si="3"/>
        <v>1.0704357460387386</v>
      </c>
    </row>
    <row r="81" spans="1:4" x14ac:dyDescent="0.3">
      <c r="A81" s="1">
        <v>44750</v>
      </c>
      <c r="B81">
        <v>147389694</v>
      </c>
      <c r="C81">
        <f t="shared" si="4"/>
        <v>1.4485889159597979E-2</v>
      </c>
      <c r="D81">
        <f t="shared" si="3"/>
        <v>1.014485889159598</v>
      </c>
    </row>
    <row r="82" spans="1:4" x14ac:dyDescent="0.3">
      <c r="A82" s="1">
        <v>44757</v>
      </c>
      <c r="B82">
        <v>154219620</v>
      </c>
      <c r="C82">
        <f t="shared" si="4"/>
        <v>4.6339237260374526E-2</v>
      </c>
      <c r="D82">
        <f t="shared" si="3"/>
        <v>1.0463392372603746</v>
      </c>
    </row>
    <row r="83" spans="1:4" x14ac:dyDescent="0.3">
      <c r="A83" s="1">
        <v>44764</v>
      </c>
      <c r="B83">
        <v>156205078</v>
      </c>
      <c r="C83">
        <f t="shared" si="4"/>
        <v>1.287422443395983E-2</v>
      </c>
      <c r="D83">
        <f t="shared" si="3"/>
        <v>1.0128742244339599</v>
      </c>
    </row>
    <row r="84" spans="1:4" x14ac:dyDescent="0.3">
      <c r="A84" s="1">
        <v>44771</v>
      </c>
      <c r="B84">
        <v>164603500</v>
      </c>
      <c r="C84">
        <f t="shared" si="4"/>
        <v>5.3765358383547554E-2</v>
      </c>
      <c r="D84">
        <f t="shared" si="3"/>
        <v>1.0537653583835476</v>
      </c>
    </row>
    <row r="85" spans="1:4" x14ac:dyDescent="0.3">
      <c r="A85" s="1">
        <v>44778</v>
      </c>
      <c r="B85">
        <v>167264038</v>
      </c>
      <c r="C85">
        <f t="shared" si="4"/>
        <v>1.6163313659794596E-2</v>
      </c>
      <c r="D85">
        <f t="shared" si="3"/>
        <v>1.0161633136597945</v>
      </c>
    </row>
    <row r="86" spans="1:4" x14ac:dyDescent="0.3">
      <c r="A86" s="1">
        <v>44785</v>
      </c>
      <c r="B86">
        <v>173122955</v>
      </c>
      <c r="C86">
        <f t="shared" si="4"/>
        <v>3.5027953827110166E-2</v>
      </c>
      <c r="D86">
        <f t="shared" si="3"/>
        <v>1.0350279538271101</v>
      </c>
    </row>
    <row r="87" spans="1:4" x14ac:dyDescent="0.3">
      <c r="A87" s="1">
        <v>44792</v>
      </c>
      <c r="B87">
        <v>169027267</v>
      </c>
      <c r="C87">
        <f t="shared" si="4"/>
        <v>-2.3657683061151537E-2</v>
      </c>
      <c r="D87">
        <f t="shared" si="3"/>
        <v>0.97634231693884843</v>
      </c>
    </row>
    <row r="88" spans="1:4" x14ac:dyDescent="0.3">
      <c r="A88" s="1">
        <v>44799</v>
      </c>
      <c r="B88">
        <v>157028458</v>
      </c>
      <c r="C88">
        <f t="shared" si="4"/>
        <v>-7.0987416485885677E-2</v>
      </c>
      <c r="D88">
        <f t="shared" si="3"/>
        <v>0.92901258351411431</v>
      </c>
    </row>
    <row r="89" spans="1:4" x14ac:dyDescent="0.3">
      <c r="A89" s="1">
        <v>44806</v>
      </c>
      <c r="B89">
        <v>153549088</v>
      </c>
      <c r="C89">
        <f t="shared" si="4"/>
        <v>-2.2157576049049658E-2</v>
      </c>
      <c r="D89">
        <f t="shared" si="3"/>
        <v>0.97784242395095033</v>
      </c>
    </row>
    <row r="90" spans="1:4" x14ac:dyDescent="0.3">
      <c r="A90" s="1">
        <v>44813</v>
      </c>
      <c r="B90">
        <v>151471405</v>
      </c>
      <c r="C90">
        <f t="shared" si="4"/>
        <v>-1.3531067016171402E-2</v>
      </c>
      <c r="D90">
        <f t="shared" si="3"/>
        <v>0.98646893298382865</v>
      </c>
    </row>
    <row r="91" spans="1:4" x14ac:dyDescent="0.3">
      <c r="A91" s="1">
        <v>44820</v>
      </c>
      <c r="B91">
        <v>151839249</v>
      </c>
      <c r="C91">
        <f t="shared" si="4"/>
        <v>2.428471565309637E-3</v>
      </c>
      <c r="D91">
        <f t="shared" si="3"/>
        <v>1.0024284715653096</v>
      </c>
    </row>
    <row r="92" spans="1:4" x14ac:dyDescent="0.3">
      <c r="A92" s="1">
        <v>44827</v>
      </c>
      <c r="B92">
        <v>141639725</v>
      </c>
      <c r="C92">
        <f t="shared" si="4"/>
        <v>-6.7173172069627404E-2</v>
      </c>
      <c r="D92">
        <f t="shared" si="3"/>
        <v>0.93282682793037264</v>
      </c>
    </row>
    <row r="93" spans="1:4" x14ac:dyDescent="0.3">
      <c r="A93" s="1">
        <v>44834</v>
      </c>
      <c r="B93">
        <v>144572342</v>
      </c>
      <c r="C93">
        <f t="shared" si="4"/>
        <v>2.0704763441188552E-2</v>
      </c>
      <c r="D93">
        <f t="shared" si="3"/>
        <v>1.0207047634411885</v>
      </c>
    </row>
    <row r="94" spans="1:4" x14ac:dyDescent="0.3">
      <c r="A94" s="1">
        <v>44841</v>
      </c>
      <c r="B94">
        <v>142146729</v>
      </c>
      <c r="C94">
        <f t="shared" si="4"/>
        <v>-1.6777849528093001E-2</v>
      </c>
      <c r="D94">
        <f t="shared" si="3"/>
        <v>0.98322215047190697</v>
      </c>
    </row>
    <row r="95" spans="1:4" x14ac:dyDescent="0.3">
      <c r="A95" s="1">
        <v>44848</v>
      </c>
      <c r="B95">
        <v>142544388</v>
      </c>
      <c r="C95">
        <f t="shared" si="4"/>
        <v>2.7975248026987664E-3</v>
      </c>
      <c r="D95">
        <f t="shared" si="3"/>
        <v>1.0027975248026988</v>
      </c>
    </row>
    <row r="96" spans="1:4" x14ac:dyDescent="0.3">
      <c r="A96" s="1">
        <v>44855</v>
      </c>
      <c r="B96">
        <v>143946045</v>
      </c>
      <c r="C96">
        <f t="shared" si="4"/>
        <v>9.8331265065307229E-3</v>
      </c>
      <c r="D96">
        <f t="shared" si="3"/>
        <v>1.0098331265065308</v>
      </c>
    </row>
    <row r="97" spans="1:4" x14ac:dyDescent="0.3">
      <c r="A97" s="1">
        <v>44862</v>
      </c>
      <c r="B97">
        <v>138060974</v>
      </c>
      <c r="C97">
        <f t="shared" si="4"/>
        <v>-4.0883867285134511E-2</v>
      </c>
      <c r="D97">
        <f t="shared" si="3"/>
        <v>0.95911613271486551</v>
      </c>
    </row>
    <row r="98" spans="1:4" x14ac:dyDescent="0.3">
      <c r="A98" s="1">
        <v>44869</v>
      </c>
      <c r="B98">
        <v>146003845</v>
      </c>
      <c r="C98">
        <f t="shared" si="4"/>
        <v>5.7531616429129351E-2</v>
      </c>
      <c r="D98">
        <f t="shared" ref="D98:D106" si="5">C98+1</f>
        <v>1.0575316164291293</v>
      </c>
    </row>
    <row r="99" spans="1:4" x14ac:dyDescent="0.3">
      <c r="A99" s="1">
        <v>44876</v>
      </c>
      <c r="B99">
        <v>150079697</v>
      </c>
      <c r="C99">
        <f t="shared" si="4"/>
        <v>2.7916059333916856E-2</v>
      </c>
      <c r="D99">
        <f t="shared" si="5"/>
        <v>1.0279160593339169</v>
      </c>
    </row>
    <row r="100" spans="1:4" x14ac:dyDescent="0.3">
      <c r="A100" s="1">
        <v>44883</v>
      </c>
      <c r="B100">
        <v>150428223</v>
      </c>
      <c r="C100">
        <f t="shared" si="4"/>
        <v>2.3222728121579297E-3</v>
      </c>
      <c r="D100">
        <f t="shared" si="5"/>
        <v>1.0023222728121579</v>
      </c>
    </row>
    <row r="101" spans="1:4" x14ac:dyDescent="0.3">
      <c r="A101" s="1">
        <v>44890</v>
      </c>
      <c r="B101">
        <v>147679932</v>
      </c>
      <c r="C101">
        <f t="shared" si="4"/>
        <v>-1.8269783057930557E-2</v>
      </c>
      <c r="D101">
        <f t="shared" si="5"/>
        <v>0.98173021694206941</v>
      </c>
    </row>
    <row r="102" spans="1:4" x14ac:dyDescent="0.3">
      <c r="A102" s="1">
        <v>44897</v>
      </c>
      <c r="B102">
        <v>142043976</v>
      </c>
      <c r="C102">
        <f t="shared" si="4"/>
        <v>-3.8163316597410131E-2</v>
      </c>
      <c r="D102">
        <f t="shared" si="5"/>
        <v>0.96183668340258988</v>
      </c>
    </row>
    <row r="103" spans="1:4" x14ac:dyDescent="0.3">
      <c r="A103" s="1">
        <v>44904</v>
      </c>
      <c r="B103">
        <v>135920105</v>
      </c>
      <c r="C103">
        <f t="shared" si="4"/>
        <v>-4.3112500596294207E-2</v>
      </c>
      <c r="D103">
        <f t="shared" si="5"/>
        <v>0.95688749940370577</v>
      </c>
    </row>
    <row r="104" spans="1:4" x14ac:dyDescent="0.3">
      <c r="A104" s="1">
        <v>44911</v>
      </c>
      <c r="B104">
        <v>131668243</v>
      </c>
      <c r="C104">
        <f t="shared" si="4"/>
        <v>-3.1282068241486424E-2</v>
      </c>
      <c r="D104">
        <f t="shared" si="5"/>
        <v>0.96871793175851362</v>
      </c>
    </row>
    <row r="105" spans="1:4" x14ac:dyDescent="0.3">
      <c r="A105" s="1">
        <v>44918</v>
      </c>
      <c r="B105">
        <v>129059372</v>
      </c>
      <c r="C105">
        <f t="shared" si="4"/>
        <v>-1.9813972910688874E-2</v>
      </c>
      <c r="D105">
        <f t="shared" si="5"/>
        <v>0.98018602708931113</v>
      </c>
    </row>
    <row r="106" spans="1:4" x14ac:dyDescent="0.3">
      <c r="A106" s="1">
        <v>44925</v>
      </c>
      <c r="B106">
        <v>129378006</v>
      </c>
      <c r="C106">
        <f t="shared" si="4"/>
        <v>2.468894703749217E-3</v>
      </c>
      <c r="D106">
        <f t="shared" si="5"/>
        <v>1.0024688947037492</v>
      </c>
    </row>
    <row r="107" spans="1:4" x14ac:dyDescent="0.3">
      <c r="A107" s="26" t="s">
        <v>5</v>
      </c>
      <c r="B107" s="26"/>
      <c r="C107" s="2">
        <f>AVERAGE(C3:C106)</f>
        <v>6.9060915798015079E-4</v>
      </c>
      <c r="D107" s="2"/>
    </row>
    <row r="108" spans="1:4" x14ac:dyDescent="0.3">
      <c r="A108" s="26" t="s">
        <v>6</v>
      </c>
      <c r="B108" s="26"/>
      <c r="C108" s="2"/>
      <c r="D108" s="2">
        <f>GEOMEAN(D3:D106)-1</f>
        <v>4.1753522555865175E-5</v>
      </c>
    </row>
    <row r="109" spans="1:4" x14ac:dyDescent="0.3">
      <c r="A109" s="26" t="s">
        <v>7</v>
      </c>
      <c r="B109" s="26"/>
      <c r="C109" s="2">
        <f>_xlfn.STDEV.S(C3:C106)</f>
        <v>3.6205383376763822E-2</v>
      </c>
      <c r="D109" s="2"/>
    </row>
    <row r="110" spans="1:4" x14ac:dyDescent="0.3">
      <c r="A110" s="26" t="s">
        <v>8</v>
      </c>
      <c r="B110" s="26"/>
      <c r="C110" s="2">
        <f>_xlfn.VAR.S(C3:C106)</f>
        <v>1.3108297854584462E-3</v>
      </c>
      <c r="D110" s="2"/>
    </row>
  </sheetData>
  <mergeCells count="4">
    <mergeCell ref="A107:B107"/>
    <mergeCell ref="A108:B108"/>
    <mergeCell ref="A109:B109"/>
    <mergeCell ref="A110:B1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84E5-918C-4D91-A2FC-DDD9E9D53A52}">
  <dimension ref="A1:D110"/>
  <sheetViews>
    <sheetView topLeftCell="A93" workbookViewId="0">
      <selection activeCell="A107" sqref="A107:D110"/>
    </sheetView>
  </sheetViews>
  <sheetFormatPr defaultRowHeight="14.4" x14ac:dyDescent="0.3"/>
  <cols>
    <col min="1" max="1" width="10.5546875" bestFit="1" customWidth="1"/>
    <col min="2" max="2" width="11" bestFit="1" customWidth="1"/>
    <col min="3" max="3" width="14" customWidth="1"/>
    <col min="4" max="4" width="15.109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 s="1">
        <v>44197</v>
      </c>
      <c r="B2">
        <v>272013336</v>
      </c>
    </row>
    <row r="3" spans="1:4" x14ac:dyDescent="0.3">
      <c r="A3" s="1">
        <v>44204</v>
      </c>
      <c r="B3">
        <v>281666656</v>
      </c>
      <c r="C3">
        <f>(B3-B2)/B2</f>
        <v>3.5488407083099777E-2</v>
      </c>
      <c r="D3">
        <f t="shared" ref="D3:D66" si="0">C3+1</f>
        <v>1.0354884070830999</v>
      </c>
    </row>
    <row r="4" spans="1:4" x14ac:dyDescent="0.3">
      <c r="A4" s="1">
        <v>44211</v>
      </c>
      <c r="B4">
        <v>281663330</v>
      </c>
      <c r="C4">
        <f t="shared" ref="C4:C67" si="1">(B4-B3)/B3</f>
        <v>-1.1808284470846276E-5</v>
      </c>
      <c r="D4">
        <f t="shared" si="0"/>
        <v>0.99998819171552911</v>
      </c>
    </row>
    <row r="5" spans="1:4" x14ac:dyDescent="0.3">
      <c r="A5" s="1">
        <v>44218</v>
      </c>
      <c r="B5">
        <v>278476654</v>
      </c>
      <c r="C5">
        <f t="shared" si="1"/>
        <v>-1.1313776628288816E-2</v>
      </c>
      <c r="D5">
        <f t="shared" si="0"/>
        <v>0.98868622337171119</v>
      </c>
    </row>
    <row r="6" spans="1:4" x14ac:dyDescent="0.3">
      <c r="A6" s="1">
        <v>44225</v>
      </c>
      <c r="B6">
        <v>283329987</v>
      </c>
      <c r="C6">
        <f t="shared" si="1"/>
        <v>1.7428150368396771E-2</v>
      </c>
      <c r="D6">
        <f t="shared" si="0"/>
        <v>1.0174281503683968</v>
      </c>
    </row>
    <row r="7" spans="1:4" x14ac:dyDescent="0.3">
      <c r="A7" s="1">
        <v>44232</v>
      </c>
      <c r="B7">
        <v>270553345</v>
      </c>
      <c r="C7">
        <f t="shared" si="1"/>
        <v>-4.509456318155268E-2</v>
      </c>
      <c r="D7">
        <f t="shared" si="0"/>
        <v>0.95490543681844731</v>
      </c>
    </row>
    <row r="8" spans="1:4" x14ac:dyDescent="0.3">
      <c r="A8" s="1">
        <v>44239</v>
      </c>
      <c r="B8">
        <v>262459991</v>
      </c>
      <c r="C8">
        <f t="shared" si="1"/>
        <v>-2.9914078497162915E-2</v>
      </c>
      <c r="D8">
        <f t="shared" si="0"/>
        <v>0.97008592150283712</v>
      </c>
    </row>
    <row r="9" spans="1:4" x14ac:dyDescent="0.3">
      <c r="A9" s="1">
        <v>44246</v>
      </c>
      <c r="B9">
        <v>227406662</v>
      </c>
      <c r="C9">
        <f t="shared" si="1"/>
        <v>-0.13355684752728655</v>
      </c>
      <c r="D9">
        <f t="shared" si="0"/>
        <v>0.86644315247271342</v>
      </c>
    </row>
    <row r="10" spans="1:4" x14ac:dyDescent="0.3">
      <c r="A10" s="1">
        <v>44253</v>
      </c>
      <c r="B10">
        <v>207146667</v>
      </c>
      <c r="C10">
        <f t="shared" si="1"/>
        <v>-8.9091475253262373E-2</v>
      </c>
      <c r="D10">
        <f t="shared" si="0"/>
        <v>0.91090852474673767</v>
      </c>
    </row>
    <row r="11" spans="1:4" x14ac:dyDescent="0.3">
      <c r="A11" s="1">
        <v>44260</v>
      </c>
      <c r="B11">
        <v>233199997</v>
      </c>
      <c r="C11">
        <f t="shared" si="1"/>
        <v>0.12577238329400686</v>
      </c>
      <c r="D11">
        <f t="shared" si="0"/>
        <v>1.1257723832940068</v>
      </c>
    </row>
    <row r="12" spans="1:4" x14ac:dyDescent="0.3">
      <c r="A12" s="1">
        <v>44267</v>
      </c>
      <c r="B12">
        <v>217720001</v>
      </c>
      <c r="C12">
        <f t="shared" si="1"/>
        <v>-6.6380772723594841E-2</v>
      </c>
      <c r="D12">
        <f t="shared" si="0"/>
        <v>0.93361922727640512</v>
      </c>
    </row>
    <row r="13" spans="1:4" x14ac:dyDescent="0.3">
      <c r="A13" s="1">
        <v>44274</v>
      </c>
      <c r="B13">
        <v>213463333</v>
      </c>
      <c r="C13">
        <f t="shared" si="1"/>
        <v>-1.9551111429583358E-2</v>
      </c>
      <c r="D13">
        <f t="shared" si="0"/>
        <v>0.98044888857041668</v>
      </c>
    </row>
    <row r="14" spans="1:4" x14ac:dyDescent="0.3">
      <c r="A14" s="1">
        <v>44281</v>
      </c>
      <c r="B14">
        <v>220583328</v>
      </c>
      <c r="C14">
        <f t="shared" si="1"/>
        <v>3.3354651124087899E-2</v>
      </c>
      <c r="D14">
        <f t="shared" si="0"/>
        <v>1.0333546511240879</v>
      </c>
    </row>
    <row r="15" spans="1:4" x14ac:dyDescent="0.3">
      <c r="A15" s="1">
        <v>44288</v>
      </c>
      <c r="B15">
        <v>227933334</v>
      </c>
      <c r="C15">
        <f t="shared" si="1"/>
        <v>3.332076846714363E-2</v>
      </c>
      <c r="D15">
        <f t="shared" si="0"/>
        <v>1.0333207684671437</v>
      </c>
    </row>
    <row r="16" spans="1:4" x14ac:dyDescent="0.3">
      <c r="A16" s="1">
        <v>44295</v>
      </c>
      <c r="B16">
        <v>246283340</v>
      </c>
      <c r="C16">
        <f t="shared" si="1"/>
        <v>8.0506021993255267E-2</v>
      </c>
      <c r="D16">
        <f t="shared" si="0"/>
        <v>1.0805060219932552</v>
      </c>
    </row>
    <row r="17" spans="1:4" x14ac:dyDescent="0.3">
      <c r="A17" s="1">
        <v>44302</v>
      </c>
      <c r="B17">
        <v>239896667</v>
      </c>
      <c r="C17">
        <f t="shared" si="1"/>
        <v>-2.5932216933553038E-2</v>
      </c>
      <c r="D17">
        <f t="shared" si="0"/>
        <v>0.97406778306644692</v>
      </c>
    </row>
    <row r="18" spans="1:4" x14ac:dyDescent="0.3">
      <c r="A18" s="1">
        <v>44309</v>
      </c>
      <c r="B18">
        <v>225666672</v>
      </c>
      <c r="C18">
        <f t="shared" si="1"/>
        <v>-5.9317185094530718E-2</v>
      </c>
      <c r="D18">
        <f t="shared" si="0"/>
        <v>0.94068281490546923</v>
      </c>
    </row>
    <row r="19" spans="1:4" x14ac:dyDescent="0.3">
      <c r="A19" s="1">
        <v>44316</v>
      </c>
      <c r="B19">
        <v>221179993</v>
      </c>
      <c r="C19">
        <f t="shared" si="1"/>
        <v>-1.9881885793042581E-2</v>
      </c>
      <c r="D19">
        <f t="shared" si="0"/>
        <v>0.98011811420695738</v>
      </c>
    </row>
    <row r="20" spans="1:4" x14ac:dyDescent="0.3">
      <c r="A20" s="1">
        <v>44323</v>
      </c>
      <c r="B20">
        <v>190563339</v>
      </c>
      <c r="C20">
        <f t="shared" si="1"/>
        <v>-0.13842415665507324</v>
      </c>
      <c r="D20">
        <f t="shared" si="0"/>
        <v>0.86157584334492676</v>
      </c>
    </row>
    <row r="21" spans="1:4" x14ac:dyDescent="0.3">
      <c r="A21" s="1">
        <v>44330</v>
      </c>
      <c r="B21">
        <v>195593338</v>
      </c>
      <c r="C21">
        <f t="shared" si="1"/>
        <v>2.6395418060973418E-2</v>
      </c>
      <c r="D21">
        <f t="shared" si="0"/>
        <v>1.0263954180609733</v>
      </c>
    </row>
    <row r="22" spans="1:4" x14ac:dyDescent="0.3">
      <c r="A22" s="1">
        <v>44337</v>
      </c>
      <c r="B22">
        <v>210283340</v>
      </c>
      <c r="C22">
        <f t="shared" si="1"/>
        <v>7.5104817731573251E-2</v>
      </c>
      <c r="D22">
        <f t="shared" si="0"/>
        <v>1.0751048177315732</v>
      </c>
    </row>
    <row r="23" spans="1:4" x14ac:dyDescent="0.3">
      <c r="A23" s="1">
        <v>44344</v>
      </c>
      <c r="B23">
        <v>190946671</v>
      </c>
      <c r="C23">
        <f t="shared" si="1"/>
        <v>-9.1955306587768668E-2</v>
      </c>
      <c r="D23">
        <f t="shared" si="0"/>
        <v>0.90804469341223137</v>
      </c>
    </row>
    <row r="24" spans="1:4" x14ac:dyDescent="0.3">
      <c r="A24" s="1">
        <v>44351</v>
      </c>
      <c r="B24">
        <v>203373337</v>
      </c>
      <c r="C24">
        <f t="shared" si="1"/>
        <v>6.5079249273740938E-2</v>
      </c>
      <c r="D24">
        <f t="shared" si="0"/>
        <v>1.0650792492737409</v>
      </c>
    </row>
    <row r="25" spans="1:4" x14ac:dyDescent="0.3">
      <c r="A25" s="1">
        <v>44358</v>
      </c>
      <c r="B25">
        <v>205533340</v>
      </c>
      <c r="C25">
        <f t="shared" si="1"/>
        <v>1.062087602958494E-2</v>
      </c>
      <c r="D25">
        <f t="shared" si="0"/>
        <v>1.0106208760295849</v>
      </c>
    </row>
    <row r="26" spans="1:4" x14ac:dyDescent="0.3">
      <c r="A26" s="1">
        <v>44365</v>
      </c>
      <c r="B26">
        <v>226606674</v>
      </c>
      <c r="C26">
        <f t="shared" si="1"/>
        <v>0.10253000316153088</v>
      </c>
      <c r="D26">
        <f t="shared" si="0"/>
        <v>1.1025300031615308</v>
      </c>
    </row>
    <row r="27" spans="1:4" x14ac:dyDescent="0.3">
      <c r="A27" s="1">
        <v>44372</v>
      </c>
      <c r="B27">
        <v>225973328</v>
      </c>
      <c r="C27">
        <f t="shared" si="1"/>
        <v>-2.7949132689710629E-3</v>
      </c>
      <c r="D27">
        <f t="shared" si="0"/>
        <v>0.99720508673102892</v>
      </c>
    </row>
    <row r="28" spans="1:4" x14ac:dyDescent="0.3">
      <c r="A28" s="1">
        <v>44379</v>
      </c>
      <c r="B28">
        <v>217603333</v>
      </c>
      <c r="C28">
        <f t="shared" si="1"/>
        <v>-3.7039747451964776E-2</v>
      </c>
      <c r="D28">
        <f t="shared" si="0"/>
        <v>0.96296025254803519</v>
      </c>
    </row>
    <row r="29" spans="1:4" x14ac:dyDescent="0.3">
      <c r="A29" s="1">
        <v>44386</v>
      </c>
      <c r="B29">
        <v>216866669</v>
      </c>
      <c r="C29">
        <f t="shared" si="1"/>
        <v>-3.3853525579959753E-3</v>
      </c>
      <c r="D29">
        <f t="shared" si="0"/>
        <v>0.99661464744200401</v>
      </c>
    </row>
    <row r="30" spans="1:4" x14ac:dyDescent="0.3">
      <c r="A30" s="1">
        <v>44393</v>
      </c>
      <c r="B30">
        <v>216419998</v>
      </c>
      <c r="C30">
        <f t="shared" si="1"/>
        <v>-2.059657217310789E-3</v>
      </c>
      <c r="D30">
        <f t="shared" si="0"/>
        <v>0.99794034278268917</v>
      </c>
    </row>
    <row r="31" spans="1:4" x14ac:dyDescent="0.3">
      <c r="A31" s="1">
        <v>44400</v>
      </c>
      <c r="B31">
        <v>225783340</v>
      </c>
      <c r="C31">
        <f t="shared" si="1"/>
        <v>4.3264680189120046E-2</v>
      </c>
      <c r="D31">
        <f t="shared" si="0"/>
        <v>1.0432646801891201</v>
      </c>
    </row>
    <row r="32" spans="1:4" x14ac:dyDescent="0.3">
      <c r="A32" s="1">
        <v>44407</v>
      </c>
      <c r="B32">
        <v>238210007</v>
      </c>
      <c r="C32">
        <f t="shared" si="1"/>
        <v>5.5038015648098751E-2</v>
      </c>
      <c r="D32">
        <f t="shared" si="0"/>
        <v>1.0550380156480987</v>
      </c>
    </row>
    <row r="33" spans="1:4" x14ac:dyDescent="0.3">
      <c r="A33" s="1">
        <v>44414</v>
      </c>
      <c r="B33">
        <v>240750000</v>
      </c>
      <c r="C33">
        <f t="shared" si="1"/>
        <v>1.0662830802066179E-2</v>
      </c>
      <c r="D33">
        <f t="shared" si="0"/>
        <v>1.0106628308020662</v>
      </c>
    </row>
    <row r="34" spans="1:4" x14ac:dyDescent="0.3">
      <c r="A34" s="1">
        <v>44421</v>
      </c>
      <c r="B34">
        <v>224490005</v>
      </c>
      <c r="C34">
        <f t="shared" si="1"/>
        <v>-6.753892004153686E-2</v>
      </c>
      <c r="D34">
        <f t="shared" si="0"/>
        <v>0.93246107995846317</v>
      </c>
    </row>
    <row r="35" spans="1:4" x14ac:dyDescent="0.3">
      <c r="A35" s="1">
        <v>44428</v>
      </c>
      <c r="B35">
        <v>233720001</v>
      </c>
      <c r="C35">
        <f t="shared" si="1"/>
        <v>4.111539843388573E-2</v>
      </c>
      <c r="D35">
        <f t="shared" si="0"/>
        <v>1.0411153984338857</v>
      </c>
    </row>
    <row r="36" spans="1:4" x14ac:dyDescent="0.3">
      <c r="A36" s="1">
        <v>44435</v>
      </c>
      <c r="B36">
        <v>244130005</v>
      </c>
      <c r="C36">
        <f t="shared" si="1"/>
        <v>4.4540492706912148E-2</v>
      </c>
      <c r="D36">
        <f t="shared" si="0"/>
        <v>1.0445404927069122</v>
      </c>
    </row>
    <row r="37" spans="1:4" x14ac:dyDescent="0.3">
      <c r="A37" s="1">
        <v>44442</v>
      </c>
      <c r="B37">
        <v>251619995</v>
      </c>
      <c r="C37">
        <f t="shared" si="1"/>
        <v>3.06803336197859E-2</v>
      </c>
      <c r="D37">
        <f t="shared" si="0"/>
        <v>1.0306803336197858</v>
      </c>
    </row>
    <row r="38" spans="1:4" x14ac:dyDescent="0.3">
      <c r="A38" s="1">
        <v>44449</v>
      </c>
      <c r="B38">
        <v>252330002</v>
      </c>
      <c r="C38">
        <f t="shared" si="1"/>
        <v>2.8217431607531827E-3</v>
      </c>
      <c r="D38">
        <f t="shared" si="0"/>
        <v>1.0028217431607531</v>
      </c>
    </row>
    <row r="39" spans="1:4" x14ac:dyDescent="0.3">
      <c r="A39" s="1">
        <v>44456</v>
      </c>
      <c r="B39">
        <v>251213333</v>
      </c>
      <c r="C39">
        <f t="shared" si="1"/>
        <v>-4.4254309481597037E-3</v>
      </c>
      <c r="D39">
        <f t="shared" si="0"/>
        <v>0.99557456905184027</v>
      </c>
    </row>
    <row r="40" spans="1:4" x14ac:dyDescent="0.3">
      <c r="A40" s="1">
        <v>44463</v>
      </c>
      <c r="B40">
        <v>258493347</v>
      </c>
      <c r="C40">
        <f t="shared" si="1"/>
        <v>2.8979409305476631E-2</v>
      </c>
      <c r="D40">
        <f t="shared" si="0"/>
        <v>1.0289794093054767</v>
      </c>
    </row>
    <row r="41" spans="1:4" x14ac:dyDescent="0.3">
      <c r="A41" s="1">
        <v>44470</v>
      </c>
      <c r="B41">
        <v>264536682</v>
      </c>
      <c r="C41">
        <f t="shared" si="1"/>
        <v>2.3379073659485713E-2</v>
      </c>
      <c r="D41">
        <f t="shared" si="0"/>
        <v>1.0233790736594857</v>
      </c>
    </row>
    <row r="42" spans="1:4" x14ac:dyDescent="0.3">
      <c r="A42" s="1">
        <v>44477</v>
      </c>
      <c r="B42">
        <v>272773346</v>
      </c>
      <c r="C42">
        <f t="shared" si="1"/>
        <v>3.1136188515436206E-2</v>
      </c>
      <c r="D42">
        <f t="shared" si="0"/>
        <v>1.0311361885154362</v>
      </c>
    </row>
    <row r="43" spans="1:4" x14ac:dyDescent="0.3">
      <c r="A43" s="1">
        <v>44484</v>
      </c>
      <c r="B43">
        <v>298000000</v>
      </c>
      <c r="C43">
        <f t="shared" si="1"/>
        <v>9.2482107837618413E-2</v>
      </c>
      <c r="D43">
        <f t="shared" si="0"/>
        <v>1.0924821078376183</v>
      </c>
    </row>
    <row r="44" spans="1:4" x14ac:dyDescent="0.3">
      <c r="A44" s="1">
        <v>44491</v>
      </c>
      <c r="B44">
        <v>359013336</v>
      </c>
      <c r="C44">
        <f t="shared" si="1"/>
        <v>0.20474273825503356</v>
      </c>
      <c r="D44">
        <f t="shared" si="0"/>
        <v>1.2047427382550335</v>
      </c>
    </row>
    <row r="45" spans="1:4" x14ac:dyDescent="0.3">
      <c r="A45" s="1">
        <v>44498</v>
      </c>
      <c r="B45">
        <v>409970001</v>
      </c>
      <c r="C45">
        <f t="shared" si="1"/>
        <v>0.14193529847036099</v>
      </c>
      <c r="D45">
        <f t="shared" si="0"/>
        <v>1.141935298470361</v>
      </c>
    </row>
    <row r="46" spans="1:4" x14ac:dyDescent="0.3">
      <c r="A46" s="1">
        <v>44505</v>
      </c>
      <c r="B46">
        <v>354503326</v>
      </c>
      <c r="C46">
        <f t="shared" si="1"/>
        <v>-0.13529447243628931</v>
      </c>
      <c r="D46">
        <f t="shared" si="0"/>
        <v>0.86470552756371066</v>
      </c>
    </row>
    <row r="47" spans="1:4" x14ac:dyDescent="0.3">
      <c r="A47" s="1">
        <v>44512</v>
      </c>
      <c r="B47">
        <v>365459991</v>
      </c>
      <c r="C47">
        <f t="shared" si="1"/>
        <v>3.0907086609393335E-2</v>
      </c>
      <c r="D47">
        <f t="shared" si="0"/>
        <v>1.0309070866093932</v>
      </c>
    </row>
    <row r="48" spans="1:4" x14ac:dyDescent="0.3">
      <c r="A48" s="1">
        <v>44519</v>
      </c>
      <c r="B48">
        <v>372000000</v>
      </c>
      <c r="C48">
        <f t="shared" si="1"/>
        <v>1.7895280361893293E-2</v>
      </c>
      <c r="D48">
        <f t="shared" si="0"/>
        <v>1.0178952803618933</v>
      </c>
    </row>
    <row r="49" spans="1:4" x14ac:dyDescent="0.3">
      <c r="A49" s="1">
        <v>44526</v>
      </c>
      <c r="B49">
        <v>361533325</v>
      </c>
      <c r="C49">
        <f t="shared" si="1"/>
        <v>-2.8136223118279569E-2</v>
      </c>
      <c r="D49">
        <f t="shared" si="0"/>
        <v>0.97186377688172043</v>
      </c>
    </row>
    <row r="50" spans="1:4" x14ac:dyDescent="0.3">
      <c r="A50" s="1">
        <v>44533</v>
      </c>
      <c r="B50">
        <v>334600006</v>
      </c>
      <c r="C50">
        <f t="shared" si="1"/>
        <v>-7.4497472674199539E-2</v>
      </c>
      <c r="D50">
        <f t="shared" si="0"/>
        <v>0.92550252732580041</v>
      </c>
    </row>
    <row r="51" spans="1:4" x14ac:dyDescent="0.3">
      <c r="A51" s="1">
        <v>44540</v>
      </c>
      <c r="B51">
        <v>308973328</v>
      </c>
      <c r="C51">
        <f t="shared" si="1"/>
        <v>-7.6588994442516531E-2</v>
      </c>
      <c r="D51">
        <f t="shared" si="0"/>
        <v>0.92341100555748346</v>
      </c>
    </row>
    <row r="52" spans="1:4" x14ac:dyDescent="0.3">
      <c r="A52" s="1">
        <v>44547</v>
      </c>
      <c r="B52">
        <v>355666656</v>
      </c>
      <c r="C52">
        <f t="shared" si="1"/>
        <v>0.15112413845637834</v>
      </c>
      <c r="D52">
        <f t="shared" si="0"/>
        <v>1.1511241384563784</v>
      </c>
    </row>
    <row r="53" spans="1:4" x14ac:dyDescent="0.3">
      <c r="A53" s="1">
        <v>44554</v>
      </c>
      <c r="B53">
        <v>356779999</v>
      </c>
      <c r="C53">
        <f t="shared" si="1"/>
        <v>3.1302990629517996E-3</v>
      </c>
      <c r="D53">
        <f t="shared" si="0"/>
        <v>1.0031302990629518</v>
      </c>
    </row>
    <row r="54" spans="1:4" x14ac:dyDescent="0.3">
      <c r="A54" s="1">
        <v>44561</v>
      </c>
      <c r="B54">
        <v>354899994</v>
      </c>
      <c r="C54">
        <f t="shared" si="1"/>
        <v>-5.2693676923296368E-3</v>
      </c>
      <c r="D54">
        <f t="shared" si="0"/>
        <v>0.99473063230767034</v>
      </c>
    </row>
    <row r="55" spans="1:4" x14ac:dyDescent="0.3">
      <c r="A55" s="1">
        <v>44568</v>
      </c>
      <c r="B55">
        <v>343853333</v>
      </c>
      <c r="C55">
        <f t="shared" si="1"/>
        <v>-3.1126123377731022E-2</v>
      </c>
      <c r="D55">
        <f t="shared" si="0"/>
        <v>0.96887387662226898</v>
      </c>
    </row>
    <row r="56" spans="1:4" x14ac:dyDescent="0.3">
      <c r="A56" s="1">
        <v>44575</v>
      </c>
      <c r="B56">
        <v>332089996</v>
      </c>
      <c r="C56">
        <f t="shared" si="1"/>
        <v>-3.4210332927033169E-2</v>
      </c>
      <c r="D56">
        <f t="shared" si="0"/>
        <v>0.96578966707296687</v>
      </c>
    </row>
    <row r="57" spans="1:4" x14ac:dyDescent="0.3">
      <c r="A57" s="1">
        <v>44582</v>
      </c>
      <c r="B57">
        <v>276366669</v>
      </c>
      <c r="C57">
        <f t="shared" si="1"/>
        <v>-0.16779586157723342</v>
      </c>
      <c r="D57">
        <f t="shared" si="0"/>
        <v>0.83220413842276653</v>
      </c>
    </row>
    <row r="58" spans="1:4" x14ac:dyDescent="0.3">
      <c r="A58" s="1">
        <v>44589</v>
      </c>
      <c r="B58">
        <v>297046661</v>
      </c>
      <c r="C58">
        <f t="shared" si="1"/>
        <v>7.4828097305757235E-2</v>
      </c>
      <c r="D58">
        <f t="shared" si="0"/>
        <v>1.0748280973057573</v>
      </c>
    </row>
    <row r="59" spans="1:4" x14ac:dyDescent="0.3">
      <c r="A59" s="1">
        <v>44596</v>
      </c>
      <c r="B59">
        <v>301516663</v>
      </c>
      <c r="C59">
        <f t="shared" si="1"/>
        <v>1.5048147603988721E-2</v>
      </c>
      <c r="D59">
        <f t="shared" si="0"/>
        <v>1.0150481476039888</v>
      </c>
    </row>
    <row r="60" spans="1:4" x14ac:dyDescent="0.3">
      <c r="A60" s="1">
        <v>44603</v>
      </c>
      <c r="B60">
        <v>292116669</v>
      </c>
      <c r="C60">
        <f t="shared" si="1"/>
        <v>-3.1175703214783853E-2</v>
      </c>
      <c r="D60">
        <f t="shared" si="0"/>
        <v>0.9688242967852162</v>
      </c>
    </row>
    <row r="61" spans="1:4" x14ac:dyDescent="0.3">
      <c r="A61" s="1">
        <v>44610</v>
      </c>
      <c r="B61">
        <v>266923340</v>
      </c>
      <c r="C61">
        <f t="shared" si="1"/>
        <v>-8.6244065038274142E-2</v>
      </c>
      <c r="D61">
        <f t="shared" si="0"/>
        <v>0.91375593496172591</v>
      </c>
    </row>
    <row r="62" spans="1:4" x14ac:dyDescent="0.3">
      <c r="A62" s="1">
        <v>44617</v>
      </c>
      <c r="B62">
        <v>279763336</v>
      </c>
      <c r="C62">
        <f t="shared" si="1"/>
        <v>4.8103684001556402E-2</v>
      </c>
      <c r="D62">
        <f t="shared" si="0"/>
        <v>1.0481036840015565</v>
      </c>
    </row>
    <row r="63" spans="1:4" x14ac:dyDescent="0.3">
      <c r="A63" s="1">
        <v>44624</v>
      </c>
      <c r="B63">
        <v>279433319</v>
      </c>
      <c r="C63">
        <f t="shared" si="1"/>
        <v>-1.1796291991599643E-3</v>
      </c>
      <c r="D63">
        <f t="shared" si="0"/>
        <v>0.99882037080084007</v>
      </c>
    </row>
    <row r="64" spans="1:4" x14ac:dyDescent="0.3">
      <c r="A64" s="1">
        <v>44631</v>
      </c>
      <c r="B64">
        <v>290533325</v>
      </c>
      <c r="C64">
        <f t="shared" si="1"/>
        <v>3.9723272942980718E-2</v>
      </c>
      <c r="D64">
        <f t="shared" si="0"/>
        <v>1.0397232729429806</v>
      </c>
    </row>
    <row r="65" spans="1:4" x14ac:dyDescent="0.3">
      <c r="A65" s="1">
        <v>44638</v>
      </c>
      <c r="B65">
        <v>337973328</v>
      </c>
      <c r="C65">
        <f t="shared" si="1"/>
        <v>0.1632859259776826</v>
      </c>
      <c r="D65">
        <f t="shared" si="0"/>
        <v>1.1632859259776827</v>
      </c>
    </row>
    <row r="66" spans="1:4" x14ac:dyDescent="0.3">
      <c r="A66" s="1">
        <v>44645</v>
      </c>
      <c r="B66">
        <v>359200012</v>
      </c>
      <c r="C66">
        <f t="shared" si="1"/>
        <v>6.2805796320116722E-2</v>
      </c>
      <c r="D66">
        <f t="shared" si="0"/>
        <v>1.0628057963201167</v>
      </c>
    </row>
    <row r="67" spans="1:4" x14ac:dyDescent="0.3">
      <c r="A67" s="1">
        <v>44652</v>
      </c>
      <c r="B67">
        <v>352420013</v>
      </c>
      <c r="C67">
        <f t="shared" si="1"/>
        <v>-1.8875274981895045E-2</v>
      </c>
      <c r="D67">
        <f t="shared" ref="D67:D106" si="2">C67+1</f>
        <v>0.98112472501810499</v>
      </c>
    </row>
    <row r="68" spans="1:4" x14ac:dyDescent="0.3">
      <c r="A68" s="1">
        <v>44659</v>
      </c>
      <c r="B68">
        <v>328333344</v>
      </c>
      <c r="C68">
        <f t="shared" ref="C68:C106" si="3">(B68-B67)/B67</f>
        <v>-6.8346484624867199E-2</v>
      </c>
      <c r="D68">
        <f t="shared" si="2"/>
        <v>0.93165351537513286</v>
      </c>
    </row>
    <row r="69" spans="1:4" x14ac:dyDescent="0.3">
      <c r="A69" s="1">
        <v>44666</v>
      </c>
      <c r="B69">
        <v>336260010</v>
      </c>
      <c r="C69">
        <f t="shared" si="3"/>
        <v>2.4142129164925752E-2</v>
      </c>
      <c r="D69">
        <f t="shared" si="2"/>
        <v>1.0241421291649258</v>
      </c>
    </row>
    <row r="70" spans="1:4" x14ac:dyDescent="0.3">
      <c r="A70" s="1">
        <v>44673</v>
      </c>
      <c r="B70">
        <v>292503326</v>
      </c>
      <c r="C70">
        <f t="shared" si="3"/>
        <v>-0.1301275283968498</v>
      </c>
      <c r="D70">
        <f t="shared" si="2"/>
        <v>0.86987247160315018</v>
      </c>
    </row>
    <row r="71" spans="1:4" x14ac:dyDescent="0.3">
      <c r="A71" s="1">
        <v>44680</v>
      </c>
      <c r="B71">
        <v>291093323</v>
      </c>
      <c r="C71">
        <f t="shared" si="3"/>
        <v>-4.8204682636668545E-3</v>
      </c>
      <c r="D71">
        <f t="shared" si="2"/>
        <v>0.99517953173633311</v>
      </c>
    </row>
    <row r="72" spans="1:4" x14ac:dyDescent="0.3">
      <c r="A72" s="1">
        <v>44687</v>
      </c>
      <c r="B72">
        <v>242666672</v>
      </c>
      <c r="C72">
        <f t="shared" si="3"/>
        <v>-0.16636125659261514</v>
      </c>
      <c r="D72">
        <f t="shared" si="2"/>
        <v>0.83363874340738486</v>
      </c>
    </row>
    <row r="73" spans="1:4" x14ac:dyDescent="0.3">
      <c r="A73" s="1">
        <v>44694</v>
      </c>
      <c r="B73">
        <v>236473328</v>
      </c>
      <c r="C73">
        <f t="shared" si="3"/>
        <v>-2.5522021417098431E-2</v>
      </c>
      <c r="D73">
        <f t="shared" si="2"/>
        <v>0.97447797858290153</v>
      </c>
    </row>
    <row r="74" spans="1:4" x14ac:dyDescent="0.3">
      <c r="A74" s="1">
        <v>44701</v>
      </c>
      <c r="B74">
        <v>235910004</v>
      </c>
      <c r="C74">
        <f t="shared" si="3"/>
        <v>-2.3821883201982086E-3</v>
      </c>
      <c r="D74">
        <f t="shared" si="2"/>
        <v>0.99761781167980179</v>
      </c>
    </row>
    <row r="75" spans="1:4" x14ac:dyDescent="0.3">
      <c r="A75" s="1">
        <v>44708</v>
      </c>
      <c r="B75">
        <v>258333344</v>
      </c>
      <c r="C75">
        <f t="shared" si="3"/>
        <v>9.505039896485272E-2</v>
      </c>
      <c r="D75">
        <f t="shared" si="2"/>
        <v>1.0950503989648528</v>
      </c>
    </row>
    <row r="76" spans="1:4" x14ac:dyDescent="0.3">
      <c r="A76" s="1">
        <v>44715</v>
      </c>
      <c r="B76">
        <v>239706665</v>
      </c>
      <c r="C76">
        <f t="shared" si="3"/>
        <v>-7.2103270571219791E-2</v>
      </c>
      <c r="D76">
        <f t="shared" si="2"/>
        <v>0.92789672942878021</v>
      </c>
    </row>
    <row r="77" spans="1:4" x14ac:dyDescent="0.3">
      <c r="A77" s="1">
        <v>44722</v>
      </c>
      <c r="B77">
        <v>213100006</v>
      </c>
      <c r="C77">
        <f t="shared" si="3"/>
        <v>-0.11099674262290538</v>
      </c>
      <c r="D77">
        <f t="shared" si="2"/>
        <v>0.88900325737709462</v>
      </c>
    </row>
    <row r="78" spans="1:4" x14ac:dyDescent="0.3">
      <c r="A78" s="1">
        <v>44729</v>
      </c>
      <c r="B78">
        <v>235070007</v>
      </c>
      <c r="C78">
        <f t="shared" si="3"/>
        <v>0.10309713928398481</v>
      </c>
      <c r="D78">
        <f t="shared" si="2"/>
        <v>1.1030971392839848</v>
      </c>
    </row>
    <row r="79" spans="1:4" x14ac:dyDescent="0.3">
      <c r="A79" s="1">
        <v>44736</v>
      </c>
      <c r="B79">
        <v>224473328</v>
      </c>
      <c r="C79">
        <f t="shared" si="3"/>
        <v>-4.5078821986847518E-2</v>
      </c>
      <c r="D79">
        <f t="shared" si="2"/>
        <v>0.95492117801315246</v>
      </c>
    </row>
    <row r="80" spans="1:4" x14ac:dyDescent="0.3">
      <c r="A80" s="1">
        <v>44743</v>
      </c>
      <c r="B80">
        <v>244543335</v>
      </c>
      <c r="C80">
        <f t="shared" si="3"/>
        <v>8.9409317261959956E-2</v>
      </c>
      <c r="D80">
        <f t="shared" si="2"/>
        <v>1.0894093172619599</v>
      </c>
    </row>
    <row r="81" spans="1:4" x14ac:dyDescent="0.3">
      <c r="A81" s="1">
        <v>44750</v>
      </c>
      <c r="B81">
        <v>238313339</v>
      </c>
      <c r="C81">
        <f t="shared" si="3"/>
        <v>-2.5476040882488168E-2</v>
      </c>
      <c r="D81">
        <f t="shared" si="2"/>
        <v>0.97452395911751188</v>
      </c>
    </row>
    <row r="82" spans="1:4" x14ac:dyDescent="0.3">
      <c r="A82" s="1">
        <v>44757</v>
      </c>
      <c r="B82">
        <v>271706665</v>
      </c>
      <c r="C82">
        <f t="shared" si="3"/>
        <v>0.14012361263588355</v>
      </c>
      <c r="D82">
        <f t="shared" si="2"/>
        <v>1.1401236126358836</v>
      </c>
    </row>
    <row r="83" spans="1:4" x14ac:dyDescent="0.3">
      <c r="A83" s="1">
        <v>44764</v>
      </c>
      <c r="B83">
        <v>280899994</v>
      </c>
      <c r="C83">
        <f t="shared" si="3"/>
        <v>3.3835493141104948E-2</v>
      </c>
      <c r="D83">
        <f t="shared" si="2"/>
        <v>1.0338354931411049</v>
      </c>
    </row>
    <row r="84" spans="1:4" x14ac:dyDescent="0.3">
      <c r="A84" s="1">
        <v>44771</v>
      </c>
      <c r="B84">
        <v>308633331</v>
      </c>
      <c r="C84">
        <f t="shared" si="3"/>
        <v>9.8730286907731293E-2</v>
      </c>
      <c r="D84">
        <f t="shared" si="2"/>
        <v>1.0987302869077313</v>
      </c>
    </row>
    <row r="85" spans="1:4" x14ac:dyDescent="0.3">
      <c r="A85" s="1">
        <v>44778</v>
      </c>
      <c r="B85">
        <v>286630005</v>
      </c>
      <c r="C85">
        <f t="shared" si="3"/>
        <v>-7.1292772976616708E-2</v>
      </c>
      <c r="D85">
        <f t="shared" si="2"/>
        <v>0.92870722702338326</v>
      </c>
    </row>
    <row r="86" spans="1:4" x14ac:dyDescent="0.3">
      <c r="A86" s="1">
        <v>44785</v>
      </c>
      <c r="B86">
        <v>302869995</v>
      </c>
      <c r="C86">
        <f t="shared" si="3"/>
        <v>5.6658373920064647E-2</v>
      </c>
      <c r="D86">
        <f t="shared" si="2"/>
        <v>1.0566583739200646</v>
      </c>
    </row>
    <row r="87" spans="1:4" x14ac:dyDescent="0.3">
      <c r="A87" s="1">
        <v>44792</v>
      </c>
      <c r="B87">
        <v>296070007</v>
      </c>
      <c r="C87">
        <f t="shared" si="3"/>
        <v>-2.2451837792647634E-2</v>
      </c>
      <c r="D87">
        <f t="shared" si="2"/>
        <v>0.97754816220735241</v>
      </c>
    </row>
    <row r="88" spans="1:4" x14ac:dyDescent="0.3">
      <c r="A88" s="1">
        <v>44799</v>
      </c>
      <c r="B88">
        <v>277160004</v>
      </c>
      <c r="C88">
        <f t="shared" si="3"/>
        <v>-6.3870039358630476E-2</v>
      </c>
      <c r="D88">
        <f t="shared" si="2"/>
        <v>0.93612996064136955</v>
      </c>
    </row>
    <row r="89" spans="1:4" x14ac:dyDescent="0.3">
      <c r="A89" s="1">
        <v>44806</v>
      </c>
      <c r="B89">
        <v>289260010</v>
      </c>
      <c r="C89">
        <f t="shared" si="3"/>
        <v>4.3657114393749252E-2</v>
      </c>
      <c r="D89">
        <f t="shared" si="2"/>
        <v>1.0436571143937492</v>
      </c>
    </row>
    <row r="90" spans="1:4" x14ac:dyDescent="0.3">
      <c r="A90" s="1">
        <v>44813</v>
      </c>
      <c r="B90">
        <v>303750000</v>
      </c>
      <c r="C90">
        <f t="shared" si="3"/>
        <v>5.0093305327618569E-2</v>
      </c>
      <c r="D90">
        <f t="shared" si="2"/>
        <v>1.0500933053276185</v>
      </c>
    </row>
    <row r="91" spans="1:4" x14ac:dyDescent="0.3">
      <c r="A91" s="1">
        <v>44820</v>
      </c>
      <c r="B91">
        <v>288589996</v>
      </c>
      <c r="C91">
        <f t="shared" si="3"/>
        <v>-4.9909478189300409E-2</v>
      </c>
      <c r="D91">
        <f t="shared" si="2"/>
        <v>0.95009052181069964</v>
      </c>
    </row>
    <row r="92" spans="1:4" x14ac:dyDescent="0.3">
      <c r="A92" s="1">
        <v>44827</v>
      </c>
      <c r="B92">
        <v>268209991</v>
      </c>
      <c r="C92">
        <f t="shared" si="3"/>
        <v>-7.061923587954172E-2</v>
      </c>
      <c r="D92">
        <f t="shared" si="2"/>
        <v>0.92938076412045834</v>
      </c>
    </row>
    <row r="93" spans="1:4" x14ac:dyDescent="0.3">
      <c r="A93" s="1">
        <v>44834</v>
      </c>
      <c r="B93">
        <v>238130005</v>
      </c>
      <c r="C93">
        <f t="shared" si="3"/>
        <v>-0.11215087807821447</v>
      </c>
      <c r="D93">
        <f t="shared" si="2"/>
        <v>0.88784912192178556</v>
      </c>
    </row>
    <row r="94" spans="1:4" x14ac:dyDescent="0.3">
      <c r="A94" s="1">
        <v>44841</v>
      </c>
      <c r="B94">
        <v>221720001</v>
      </c>
      <c r="C94">
        <f t="shared" si="3"/>
        <v>-6.8911954207534667E-2</v>
      </c>
      <c r="D94">
        <f t="shared" si="2"/>
        <v>0.93108804579246529</v>
      </c>
    </row>
    <row r="95" spans="1:4" x14ac:dyDescent="0.3">
      <c r="A95" s="1">
        <v>44848</v>
      </c>
      <c r="B95">
        <v>207279999</v>
      </c>
      <c r="C95">
        <f t="shared" si="3"/>
        <v>-6.5127196170272433E-2</v>
      </c>
      <c r="D95">
        <f t="shared" si="2"/>
        <v>0.93487280382972759</v>
      </c>
    </row>
    <row r="96" spans="1:4" x14ac:dyDescent="0.3">
      <c r="A96" s="1">
        <v>44855</v>
      </c>
      <c r="B96">
        <v>225089996</v>
      </c>
      <c r="C96">
        <f t="shared" si="3"/>
        <v>8.5922409715951414E-2</v>
      </c>
      <c r="D96">
        <f t="shared" si="2"/>
        <v>1.0859224097159514</v>
      </c>
    </row>
    <row r="97" spans="1:4" x14ac:dyDescent="0.3">
      <c r="A97" s="1">
        <v>44862</v>
      </c>
      <c r="B97">
        <v>215309998</v>
      </c>
      <c r="C97">
        <f t="shared" si="3"/>
        <v>-4.344927883867393E-2</v>
      </c>
      <c r="D97">
        <f t="shared" si="2"/>
        <v>0.95655072116132611</v>
      </c>
    </row>
    <row r="98" spans="1:4" x14ac:dyDescent="0.3">
      <c r="A98" s="1">
        <v>44869</v>
      </c>
      <c r="B98">
        <v>190720001</v>
      </c>
      <c r="C98">
        <f t="shared" si="3"/>
        <v>-0.11420740898432408</v>
      </c>
      <c r="D98">
        <f t="shared" si="2"/>
        <v>0.88579259101567587</v>
      </c>
    </row>
    <row r="99" spans="1:4" x14ac:dyDescent="0.3">
      <c r="A99" s="1">
        <v>44876</v>
      </c>
      <c r="B99">
        <v>183169998</v>
      </c>
      <c r="C99">
        <f t="shared" si="3"/>
        <v>-3.9586844381360925E-2</v>
      </c>
      <c r="D99">
        <f t="shared" si="2"/>
        <v>0.96041315561863905</v>
      </c>
    </row>
    <row r="100" spans="1:4" x14ac:dyDescent="0.3">
      <c r="A100" s="1">
        <v>44883</v>
      </c>
      <c r="B100">
        <v>183199997</v>
      </c>
      <c r="C100">
        <f t="shared" si="3"/>
        <v>1.6377682113639594E-4</v>
      </c>
      <c r="D100">
        <f t="shared" si="2"/>
        <v>1.0001637768211364</v>
      </c>
    </row>
    <row r="101" spans="1:4" x14ac:dyDescent="0.3">
      <c r="A101" s="1">
        <v>44890</v>
      </c>
      <c r="B101">
        <v>194699997</v>
      </c>
      <c r="C101">
        <f t="shared" si="3"/>
        <v>6.2772926792133074E-2</v>
      </c>
      <c r="D101">
        <f t="shared" si="2"/>
        <v>1.0627729267921331</v>
      </c>
    </row>
    <row r="102" spans="1:4" x14ac:dyDescent="0.3">
      <c r="A102" s="1">
        <v>44897</v>
      </c>
      <c r="B102">
        <v>173440002</v>
      </c>
      <c r="C102">
        <f t="shared" si="3"/>
        <v>-0.10919360722948547</v>
      </c>
      <c r="D102">
        <f t="shared" si="2"/>
        <v>0.89080639277051454</v>
      </c>
    </row>
    <row r="103" spans="1:4" x14ac:dyDescent="0.3">
      <c r="A103" s="1">
        <v>44904</v>
      </c>
      <c r="B103">
        <v>157669998</v>
      </c>
      <c r="C103">
        <f t="shared" si="3"/>
        <v>-9.0924837512398091E-2</v>
      </c>
      <c r="D103">
        <f t="shared" si="2"/>
        <v>0.9090751624876019</v>
      </c>
    </row>
    <row r="104" spans="1:4" x14ac:dyDescent="0.3">
      <c r="A104" s="1">
        <v>44911</v>
      </c>
      <c r="B104">
        <v>125349998</v>
      </c>
      <c r="C104">
        <f t="shared" si="3"/>
        <v>-0.20498509805270626</v>
      </c>
      <c r="D104">
        <f t="shared" si="2"/>
        <v>0.79501490194729374</v>
      </c>
    </row>
    <row r="105" spans="1:4" x14ac:dyDescent="0.3">
      <c r="A105" s="1">
        <v>44918</v>
      </c>
      <c r="B105">
        <v>121820000</v>
      </c>
      <c r="C105">
        <f t="shared" si="3"/>
        <v>-2.8161133277401409E-2</v>
      </c>
      <c r="D105">
        <f t="shared" si="2"/>
        <v>0.97183886672259856</v>
      </c>
    </row>
    <row r="106" spans="1:4" x14ac:dyDescent="0.3">
      <c r="A106" s="1">
        <v>44925</v>
      </c>
      <c r="B106">
        <v>123180000</v>
      </c>
      <c r="C106">
        <f t="shared" si="3"/>
        <v>1.1164012477425709E-2</v>
      </c>
      <c r="D106">
        <f t="shared" si="2"/>
        <v>1.0111640124774257</v>
      </c>
    </row>
    <row r="107" spans="1:4" x14ac:dyDescent="0.3">
      <c r="A107" s="26" t="s">
        <v>5</v>
      </c>
      <c r="B107" s="26"/>
      <c r="C107" s="2">
        <f>AVERAGE(C3:C106)</f>
        <v>-4.6737314300004992E-3</v>
      </c>
      <c r="D107" s="2"/>
    </row>
    <row r="108" spans="1:4" x14ac:dyDescent="0.3">
      <c r="A108" s="26" t="s">
        <v>6</v>
      </c>
      <c r="B108" s="26"/>
      <c r="C108" s="2"/>
      <c r="D108" s="2">
        <f>GEOMEAN(D3:D106)-1</f>
        <v>-7.5884114594009233E-3</v>
      </c>
    </row>
    <row r="109" spans="1:4" x14ac:dyDescent="0.3">
      <c r="A109" s="26" t="s">
        <v>7</v>
      </c>
      <c r="B109" s="26"/>
      <c r="C109" s="2">
        <f>_xlfn.STDEV.S(C3:C106)</f>
        <v>7.6303516749577568E-2</v>
      </c>
      <c r="D109" s="2"/>
    </row>
    <row r="110" spans="1:4" x14ac:dyDescent="0.3">
      <c r="A110" s="26" t="s">
        <v>8</v>
      </c>
      <c r="B110" s="26"/>
      <c r="C110" s="2">
        <f>_xlfn.VAR.S(C3:C106)</f>
        <v>5.8222266683530645E-3</v>
      </c>
      <c r="D110" s="2"/>
    </row>
  </sheetData>
  <mergeCells count="4">
    <mergeCell ref="A107:B107"/>
    <mergeCell ref="A108:B108"/>
    <mergeCell ref="A109:B109"/>
    <mergeCell ref="A110:B11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6125-1431-47EF-A293-4AFF36BA8893}">
  <dimension ref="A1:D110"/>
  <sheetViews>
    <sheetView topLeftCell="A91" workbookViewId="0">
      <selection activeCell="A107" sqref="A107:D110"/>
    </sheetView>
  </sheetViews>
  <sheetFormatPr defaultRowHeight="14.4" x14ac:dyDescent="0.3"/>
  <cols>
    <col min="1" max="1" width="10.5546875" bestFit="1" customWidth="1"/>
    <col min="2" max="2" width="11" bestFit="1" customWidth="1"/>
    <col min="3" max="3" width="14" customWidth="1"/>
    <col min="4" max="4" width="15.109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 s="1">
        <v>44197</v>
      </c>
      <c r="B2">
        <v>140995590</v>
      </c>
    </row>
    <row r="3" spans="1:4" x14ac:dyDescent="0.3">
      <c r="A3" s="1">
        <v>44204</v>
      </c>
      <c r="B3">
        <v>137445206</v>
      </c>
      <c r="C3">
        <f>(B3-B2)/B2</f>
        <v>-2.5180815938994971E-2</v>
      </c>
      <c r="D3">
        <f t="shared" ref="D3:D66" si="0">C3+1</f>
        <v>0.97481918406100498</v>
      </c>
    </row>
    <row r="4" spans="1:4" x14ac:dyDescent="0.3">
      <c r="A4" s="1">
        <v>44211</v>
      </c>
      <c r="B4">
        <v>137746719</v>
      </c>
      <c r="C4">
        <f t="shared" ref="C4:C67" si="1">(B4-B3)/B3</f>
        <v>2.1936960100303535E-3</v>
      </c>
      <c r="D4">
        <f t="shared" si="0"/>
        <v>1.0021936960100304</v>
      </c>
    </row>
    <row r="5" spans="1:4" x14ac:dyDescent="0.3">
      <c r="A5" s="1">
        <v>44218</v>
      </c>
      <c r="B5">
        <v>131044693</v>
      </c>
      <c r="C5">
        <f t="shared" si="1"/>
        <v>-4.8654705162160708E-2</v>
      </c>
      <c r="D5">
        <f t="shared" si="0"/>
        <v>0.95134529483783925</v>
      </c>
    </row>
    <row r="6" spans="1:4" x14ac:dyDescent="0.3">
      <c r="A6" s="1">
        <v>44225</v>
      </c>
      <c r="B6">
        <v>136793472</v>
      </c>
      <c r="C6">
        <f t="shared" si="1"/>
        <v>4.3868842517720275E-2</v>
      </c>
      <c r="D6">
        <f t="shared" si="0"/>
        <v>1.0438688425177203</v>
      </c>
    </row>
    <row r="7" spans="1:4" x14ac:dyDescent="0.3">
      <c r="A7" s="1">
        <v>44232</v>
      </c>
      <c r="B7">
        <v>139624084</v>
      </c>
      <c r="C7">
        <f t="shared" si="1"/>
        <v>2.0692595623276525E-2</v>
      </c>
      <c r="D7">
        <f t="shared" si="0"/>
        <v>1.0206925956232766</v>
      </c>
    </row>
    <row r="8" spans="1:4" x14ac:dyDescent="0.3">
      <c r="A8" s="1">
        <v>44239</v>
      </c>
      <c r="B8">
        <v>141131805</v>
      </c>
      <c r="C8">
        <f t="shared" si="1"/>
        <v>1.0798430734915331E-2</v>
      </c>
      <c r="D8">
        <f t="shared" si="0"/>
        <v>1.0107984307349154</v>
      </c>
    </row>
    <row r="9" spans="1:4" x14ac:dyDescent="0.3">
      <c r="A9" s="1">
        <v>44246</v>
      </c>
      <c r="B9">
        <v>131842316</v>
      </c>
      <c r="C9">
        <f t="shared" si="1"/>
        <v>-6.5821371731198369E-2</v>
      </c>
      <c r="D9">
        <f t="shared" si="0"/>
        <v>0.9341786282688016</v>
      </c>
    </row>
    <row r="10" spans="1:4" x14ac:dyDescent="0.3">
      <c r="A10" s="1">
        <v>44253</v>
      </c>
      <c r="B10">
        <v>128437790</v>
      </c>
      <c r="C10">
        <f t="shared" si="1"/>
        <v>-2.582271082070494E-2</v>
      </c>
      <c r="D10">
        <f t="shared" si="0"/>
        <v>0.97417728917929503</v>
      </c>
    </row>
    <row r="11" spans="1:4" x14ac:dyDescent="0.3">
      <c r="A11" s="1">
        <v>44260</v>
      </c>
      <c r="B11">
        <v>137617432</v>
      </c>
      <c r="C11">
        <f t="shared" si="1"/>
        <v>7.1471503830765074E-2</v>
      </c>
      <c r="D11">
        <f t="shared" si="0"/>
        <v>1.0714715038307652</v>
      </c>
    </row>
    <row r="12" spans="1:4" x14ac:dyDescent="0.3">
      <c r="A12" s="1">
        <v>44267</v>
      </c>
      <c r="B12">
        <v>139547287</v>
      </c>
      <c r="C12">
        <f t="shared" si="1"/>
        <v>1.4023332451080761E-2</v>
      </c>
      <c r="D12">
        <f t="shared" si="0"/>
        <v>1.0140233324510808</v>
      </c>
    </row>
    <row r="13" spans="1:4" x14ac:dyDescent="0.3">
      <c r="A13" s="1">
        <v>44274</v>
      </c>
      <c r="B13">
        <v>125384964</v>
      </c>
      <c r="C13">
        <f t="shared" si="1"/>
        <v>-0.10148762691459562</v>
      </c>
      <c r="D13">
        <f t="shared" si="0"/>
        <v>0.89851237308540433</v>
      </c>
    </row>
    <row r="14" spans="1:4" x14ac:dyDescent="0.3">
      <c r="A14" s="1">
        <v>44281</v>
      </c>
      <c r="B14">
        <v>129176544</v>
      </c>
      <c r="C14">
        <f t="shared" si="1"/>
        <v>3.023951101505281E-2</v>
      </c>
      <c r="D14">
        <f t="shared" si="0"/>
        <v>1.0302395110150528</v>
      </c>
    </row>
    <row r="15" spans="1:4" x14ac:dyDescent="0.3">
      <c r="A15" s="1">
        <v>44288</v>
      </c>
      <c r="B15">
        <v>130297440</v>
      </c>
      <c r="C15">
        <f t="shared" si="1"/>
        <v>8.6772409703111432E-3</v>
      </c>
      <c r="D15">
        <f t="shared" si="0"/>
        <v>1.0086772409703111</v>
      </c>
    </row>
    <row r="16" spans="1:4" x14ac:dyDescent="0.3">
      <c r="A16" s="1">
        <v>44295</v>
      </c>
      <c r="B16">
        <v>130287704</v>
      </c>
      <c r="C16">
        <f t="shared" si="1"/>
        <v>-7.4721345254365697E-5</v>
      </c>
      <c r="D16">
        <f t="shared" si="0"/>
        <v>0.99992527865474568</v>
      </c>
    </row>
    <row r="17" spans="1:4" x14ac:dyDescent="0.3">
      <c r="A17" s="1">
        <v>44302</v>
      </c>
      <c r="B17">
        <v>125911285</v>
      </c>
      <c r="C17">
        <f t="shared" si="1"/>
        <v>-3.359042231644515E-2</v>
      </c>
      <c r="D17">
        <f t="shared" si="0"/>
        <v>0.96640957768355484</v>
      </c>
    </row>
    <row r="18" spans="1:4" x14ac:dyDescent="0.3">
      <c r="A18" s="1">
        <v>44309</v>
      </c>
      <c r="B18">
        <v>129888046</v>
      </c>
      <c r="C18">
        <f t="shared" si="1"/>
        <v>3.1583833013855749E-2</v>
      </c>
      <c r="D18">
        <f t="shared" si="0"/>
        <v>1.0315838330138558</v>
      </c>
    </row>
    <row r="19" spans="1:4" x14ac:dyDescent="0.3">
      <c r="A19" s="1">
        <v>44316</v>
      </c>
      <c r="B19">
        <v>130112259</v>
      </c>
      <c r="C19">
        <f t="shared" si="1"/>
        <v>1.7262019631891297E-3</v>
      </c>
      <c r="D19">
        <f t="shared" si="0"/>
        <v>1.0017262019631892</v>
      </c>
    </row>
    <row r="20" spans="1:4" x14ac:dyDescent="0.3">
      <c r="A20" s="1">
        <v>44323</v>
      </c>
      <c r="B20">
        <v>130229233</v>
      </c>
      <c r="C20">
        <f t="shared" si="1"/>
        <v>8.990236654026582E-4</v>
      </c>
      <c r="D20">
        <f t="shared" si="0"/>
        <v>1.0008990236654027</v>
      </c>
    </row>
    <row r="21" spans="1:4" x14ac:dyDescent="0.3">
      <c r="A21" s="1">
        <v>44330</v>
      </c>
      <c r="B21">
        <v>129897797</v>
      </c>
      <c r="C21">
        <f t="shared" si="1"/>
        <v>-2.5450199802681782E-3</v>
      </c>
      <c r="D21">
        <f t="shared" si="0"/>
        <v>0.99745498001973187</v>
      </c>
    </row>
    <row r="22" spans="1:4" x14ac:dyDescent="0.3">
      <c r="A22" s="1">
        <v>44337</v>
      </c>
      <c r="B22">
        <v>133104553</v>
      </c>
      <c r="C22">
        <f t="shared" si="1"/>
        <v>2.4686762008750619E-2</v>
      </c>
      <c r="D22">
        <f t="shared" si="0"/>
        <v>1.0246867620087505</v>
      </c>
    </row>
    <row r="23" spans="1:4" x14ac:dyDescent="0.3">
      <c r="A23" s="1">
        <v>44344</v>
      </c>
      <c r="B23">
        <v>130775024</v>
      </c>
      <c r="C23">
        <f t="shared" si="1"/>
        <v>-1.7501497488218904E-2</v>
      </c>
      <c r="D23">
        <f t="shared" si="0"/>
        <v>0.98249850251178106</v>
      </c>
    </row>
    <row r="24" spans="1:4" x14ac:dyDescent="0.3">
      <c r="A24" s="1">
        <v>44351</v>
      </c>
      <c r="B24">
        <v>127923355</v>
      </c>
      <c r="C24">
        <f t="shared" si="1"/>
        <v>-2.1805914560566245E-2</v>
      </c>
      <c r="D24">
        <f t="shared" si="0"/>
        <v>0.97819408543943376</v>
      </c>
    </row>
    <row r="25" spans="1:4" x14ac:dyDescent="0.3">
      <c r="A25" s="1">
        <v>44358</v>
      </c>
      <c r="B25">
        <v>125911438</v>
      </c>
      <c r="C25">
        <f t="shared" si="1"/>
        <v>-1.5727519028874752E-2</v>
      </c>
      <c r="D25">
        <f t="shared" si="0"/>
        <v>0.9842724809711253</v>
      </c>
    </row>
    <row r="26" spans="1:4" x14ac:dyDescent="0.3">
      <c r="A26" s="1">
        <v>44365</v>
      </c>
      <c r="B26">
        <v>130482239</v>
      </c>
      <c r="C26">
        <f t="shared" si="1"/>
        <v>3.6301713907834168E-2</v>
      </c>
      <c r="D26">
        <f t="shared" si="0"/>
        <v>1.0363017139078341</v>
      </c>
    </row>
    <row r="27" spans="1:4" x14ac:dyDescent="0.3">
      <c r="A27" s="1">
        <v>44372</v>
      </c>
      <c r="B27">
        <v>154312805</v>
      </c>
      <c r="C27">
        <f t="shared" si="1"/>
        <v>0.18263455764274553</v>
      </c>
      <c r="D27">
        <f t="shared" si="0"/>
        <v>1.1826345576427455</v>
      </c>
    </row>
    <row r="28" spans="1:4" x14ac:dyDescent="0.3">
      <c r="A28" s="1">
        <v>44379</v>
      </c>
      <c r="B28">
        <v>156881439</v>
      </c>
      <c r="C28">
        <f t="shared" si="1"/>
        <v>1.6645630931276249E-2</v>
      </c>
      <c r="D28">
        <f t="shared" si="0"/>
        <v>1.0166456309312764</v>
      </c>
    </row>
    <row r="29" spans="1:4" x14ac:dyDescent="0.3">
      <c r="A29" s="1">
        <v>44386</v>
      </c>
      <c r="B29">
        <v>157916687</v>
      </c>
      <c r="C29">
        <f t="shared" si="1"/>
        <v>6.5989195828322304E-3</v>
      </c>
      <c r="D29">
        <f t="shared" si="0"/>
        <v>1.0065989195828322</v>
      </c>
    </row>
    <row r="30" spans="1:4" x14ac:dyDescent="0.3">
      <c r="A30" s="1">
        <v>44393</v>
      </c>
      <c r="B30">
        <v>159860260</v>
      </c>
      <c r="C30">
        <f t="shared" si="1"/>
        <v>1.230758469496007E-2</v>
      </c>
      <c r="D30">
        <f t="shared" si="0"/>
        <v>1.0123075846949601</v>
      </c>
    </row>
    <row r="31" spans="1:4" x14ac:dyDescent="0.3">
      <c r="A31" s="1">
        <v>44400</v>
      </c>
      <c r="B31">
        <v>163093002</v>
      </c>
      <c r="C31">
        <f t="shared" si="1"/>
        <v>2.0222299150520585E-2</v>
      </c>
      <c r="D31">
        <f t="shared" si="0"/>
        <v>1.0202222991505205</v>
      </c>
    </row>
    <row r="32" spans="1:4" x14ac:dyDescent="0.3">
      <c r="A32" s="1">
        <v>44407</v>
      </c>
      <c r="B32">
        <v>169792923</v>
      </c>
      <c r="C32">
        <f t="shared" si="1"/>
        <v>4.1080370818117627E-2</v>
      </c>
      <c r="D32">
        <f t="shared" si="0"/>
        <v>1.0410803708181176</v>
      </c>
    </row>
    <row r="33" spans="1:4" x14ac:dyDescent="0.3">
      <c r="A33" s="1">
        <v>44414</v>
      </c>
      <c r="B33">
        <v>166657852</v>
      </c>
      <c r="C33">
        <f t="shared" si="1"/>
        <v>-1.8464085219853363E-2</v>
      </c>
      <c r="D33">
        <f t="shared" si="0"/>
        <v>0.98153591478014668</v>
      </c>
    </row>
    <row r="34" spans="1:4" x14ac:dyDescent="0.3">
      <c r="A34" s="1">
        <v>44421</v>
      </c>
      <c r="B34">
        <v>161725677</v>
      </c>
      <c r="C34">
        <f t="shared" si="1"/>
        <v>-2.9594615200008698E-2</v>
      </c>
      <c r="D34">
        <f t="shared" si="0"/>
        <v>0.97040538479999128</v>
      </c>
    </row>
    <row r="35" spans="1:4" x14ac:dyDescent="0.3">
      <c r="A35" s="1">
        <v>44428</v>
      </c>
      <c r="B35">
        <v>163024643</v>
      </c>
      <c r="C35">
        <f t="shared" si="1"/>
        <v>8.0319094907854369E-3</v>
      </c>
      <c r="D35">
        <f t="shared" si="0"/>
        <v>1.0080319094907855</v>
      </c>
    </row>
    <row r="36" spans="1:4" x14ac:dyDescent="0.3">
      <c r="A36" s="1">
        <v>44435</v>
      </c>
      <c r="B36">
        <v>159850494</v>
      </c>
      <c r="C36">
        <f t="shared" si="1"/>
        <v>-1.947036314012968E-2</v>
      </c>
      <c r="D36">
        <f t="shared" si="0"/>
        <v>0.98052963685987027</v>
      </c>
    </row>
    <row r="37" spans="1:4" x14ac:dyDescent="0.3">
      <c r="A37" s="1">
        <v>44442</v>
      </c>
      <c r="B37">
        <v>159791428</v>
      </c>
      <c r="C37">
        <f t="shared" si="1"/>
        <v>-3.6950777268164088E-4</v>
      </c>
      <c r="D37">
        <f t="shared" si="0"/>
        <v>0.99963049222731837</v>
      </c>
    </row>
    <row r="38" spans="1:4" x14ac:dyDescent="0.3">
      <c r="A38" s="1">
        <v>44449</v>
      </c>
      <c r="B38">
        <v>154176132</v>
      </c>
      <c r="C38">
        <f t="shared" si="1"/>
        <v>-3.5141409462840521E-2</v>
      </c>
      <c r="D38">
        <f t="shared" si="0"/>
        <v>0.9648585905371595</v>
      </c>
    </row>
    <row r="39" spans="1:4" x14ac:dyDescent="0.3">
      <c r="A39" s="1">
        <v>44456</v>
      </c>
      <c r="B39">
        <v>156113129</v>
      </c>
      <c r="C39">
        <f t="shared" si="1"/>
        <v>1.2563533504654275E-2</v>
      </c>
      <c r="D39">
        <f t="shared" si="0"/>
        <v>1.0125635335046543</v>
      </c>
    </row>
    <row r="40" spans="1:4" x14ac:dyDescent="0.3">
      <c r="A40" s="1">
        <v>44463</v>
      </c>
      <c r="B40">
        <v>142074860</v>
      </c>
      <c r="C40">
        <f t="shared" si="1"/>
        <v>-8.9923692452541906E-2</v>
      </c>
      <c r="D40">
        <f t="shared" si="0"/>
        <v>0.91007630754745805</v>
      </c>
    </row>
    <row r="41" spans="1:4" x14ac:dyDescent="0.3">
      <c r="A41" s="1">
        <v>44470</v>
      </c>
      <c r="B41">
        <v>148551071</v>
      </c>
      <c r="C41">
        <f t="shared" si="1"/>
        <v>4.5583089084163093E-2</v>
      </c>
      <c r="D41">
        <f t="shared" si="0"/>
        <v>1.0455830890841631</v>
      </c>
    </row>
    <row r="42" spans="1:4" x14ac:dyDescent="0.3">
      <c r="A42" s="1">
        <v>44477</v>
      </c>
      <c r="B42">
        <v>153726120</v>
      </c>
      <c r="C42">
        <f t="shared" si="1"/>
        <v>3.4836833993610185E-2</v>
      </c>
      <c r="D42">
        <f t="shared" si="0"/>
        <v>1.0348368339936103</v>
      </c>
    </row>
    <row r="43" spans="1:4" x14ac:dyDescent="0.3">
      <c r="A43" s="1">
        <v>44484</v>
      </c>
      <c r="B43">
        <v>158656631</v>
      </c>
      <c r="C43">
        <f t="shared" si="1"/>
        <v>3.2073345765833421E-2</v>
      </c>
      <c r="D43">
        <f t="shared" si="0"/>
        <v>1.0320733457658333</v>
      </c>
    </row>
    <row r="44" spans="1:4" x14ac:dyDescent="0.3">
      <c r="A44" s="1">
        <v>44491</v>
      </c>
      <c r="B44">
        <v>160887100</v>
      </c>
      <c r="C44">
        <f t="shared" si="1"/>
        <v>1.4058466929125704E-2</v>
      </c>
      <c r="D44">
        <f t="shared" si="0"/>
        <v>1.0140584669291257</v>
      </c>
    </row>
    <row r="45" spans="1:4" x14ac:dyDescent="0.3">
      <c r="A45" s="1">
        <v>44498</v>
      </c>
      <c r="B45">
        <v>171628586</v>
      </c>
      <c r="C45">
        <f t="shared" si="1"/>
        <v>6.6764122170142909E-2</v>
      </c>
      <c r="D45">
        <f t="shared" si="0"/>
        <v>1.0667641221701429</v>
      </c>
    </row>
    <row r="46" spans="1:4" x14ac:dyDescent="0.3">
      <c r="A46" s="1">
        <v>44505</v>
      </c>
      <c r="B46">
        <v>163342545</v>
      </c>
      <c r="C46">
        <f t="shared" si="1"/>
        <v>-4.8278909668346276E-2</v>
      </c>
      <c r="D46">
        <f t="shared" si="0"/>
        <v>0.95172109033165375</v>
      </c>
    </row>
    <row r="47" spans="1:4" x14ac:dyDescent="0.3">
      <c r="A47" s="1">
        <v>44512</v>
      </c>
      <c r="B47">
        <v>167627411</v>
      </c>
      <c r="C47">
        <f t="shared" si="1"/>
        <v>2.6232394015900756E-2</v>
      </c>
      <c r="D47">
        <f t="shared" si="0"/>
        <v>1.0262323940159008</v>
      </c>
    </row>
    <row r="48" spans="1:4" x14ac:dyDescent="0.3">
      <c r="A48" s="1">
        <v>44519</v>
      </c>
      <c r="B48">
        <v>168292633</v>
      </c>
      <c r="C48">
        <f t="shared" si="1"/>
        <v>3.9684559704856381E-3</v>
      </c>
      <c r="D48">
        <f t="shared" si="0"/>
        <v>1.0039684559704856</v>
      </c>
    </row>
    <row r="49" spans="1:4" x14ac:dyDescent="0.3">
      <c r="A49" s="1">
        <v>44526</v>
      </c>
      <c r="B49">
        <v>166306763</v>
      </c>
      <c r="C49">
        <f t="shared" si="1"/>
        <v>-1.1800100602145787E-2</v>
      </c>
      <c r="D49">
        <f t="shared" si="0"/>
        <v>0.98819989939785424</v>
      </c>
    </row>
    <row r="50" spans="1:4" x14ac:dyDescent="0.3">
      <c r="A50" s="1">
        <v>44533</v>
      </c>
      <c r="B50">
        <v>164448044</v>
      </c>
      <c r="C50">
        <f t="shared" si="1"/>
        <v>-1.1176448669138007E-2</v>
      </c>
      <c r="D50">
        <f t="shared" si="0"/>
        <v>0.98882355133086197</v>
      </c>
    </row>
    <row r="51" spans="1:4" x14ac:dyDescent="0.3">
      <c r="A51" s="1">
        <v>44540</v>
      </c>
      <c r="B51">
        <v>159470978</v>
      </c>
      <c r="C51">
        <f t="shared" si="1"/>
        <v>-3.0265279409465034E-2</v>
      </c>
      <c r="D51">
        <f t="shared" si="0"/>
        <v>0.969734720590535</v>
      </c>
    </row>
    <row r="52" spans="1:4" x14ac:dyDescent="0.3">
      <c r="A52" s="1">
        <v>44547</v>
      </c>
      <c r="B52">
        <v>162362106</v>
      </c>
      <c r="C52">
        <f t="shared" si="1"/>
        <v>1.8129493129464599E-2</v>
      </c>
      <c r="D52">
        <f t="shared" si="0"/>
        <v>1.0181294931294647</v>
      </c>
    </row>
    <row r="53" spans="1:4" x14ac:dyDescent="0.3">
      <c r="A53" s="1">
        <v>44554</v>
      </c>
      <c r="B53">
        <v>164145782</v>
      </c>
      <c r="C53">
        <f t="shared" si="1"/>
        <v>1.0985789997082201E-2</v>
      </c>
      <c r="D53">
        <f t="shared" si="0"/>
        <v>1.0109857899970822</v>
      </c>
    </row>
    <row r="54" spans="1:4" x14ac:dyDescent="0.3">
      <c r="A54" s="1">
        <v>44561</v>
      </c>
      <c r="B54">
        <v>157824554</v>
      </c>
      <c r="C54">
        <f t="shared" si="1"/>
        <v>-3.850984120932209E-2</v>
      </c>
      <c r="D54">
        <f t="shared" si="0"/>
        <v>0.9614901587906779</v>
      </c>
    </row>
    <row r="55" spans="1:4" x14ac:dyDescent="0.3">
      <c r="A55" s="1">
        <v>44568</v>
      </c>
      <c r="B55">
        <v>146603165</v>
      </c>
      <c r="C55">
        <f t="shared" si="1"/>
        <v>-7.1100400511824036E-2</v>
      </c>
      <c r="D55">
        <f t="shared" si="0"/>
        <v>0.92889959948817591</v>
      </c>
    </row>
    <row r="56" spans="1:4" x14ac:dyDescent="0.3">
      <c r="A56" s="1">
        <v>44575</v>
      </c>
      <c r="B56">
        <v>139880157</v>
      </c>
      <c r="C56">
        <f t="shared" si="1"/>
        <v>-4.5858546096191034E-2</v>
      </c>
      <c r="D56">
        <f t="shared" si="0"/>
        <v>0.954141453903809</v>
      </c>
    </row>
    <row r="57" spans="1:4" x14ac:dyDescent="0.3">
      <c r="A57" s="1">
        <v>44582</v>
      </c>
      <c r="B57">
        <v>141751999</v>
      </c>
      <c r="C57">
        <f t="shared" si="1"/>
        <v>1.3381755069091037E-2</v>
      </c>
      <c r="D57">
        <f t="shared" si="0"/>
        <v>1.0133817550690911</v>
      </c>
    </row>
    <row r="58" spans="1:4" x14ac:dyDescent="0.3">
      <c r="A58" s="1">
        <v>44589</v>
      </c>
      <c r="B58">
        <v>142408630</v>
      </c>
      <c r="C58">
        <f t="shared" si="1"/>
        <v>4.6322521349416741E-3</v>
      </c>
      <c r="D58">
        <f t="shared" si="0"/>
        <v>1.0046322521349418</v>
      </c>
    </row>
    <row r="59" spans="1:4" x14ac:dyDescent="0.3">
      <c r="A59" s="1">
        <v>44596</v>
      </c>
      <c r="B59">
        <v>141928436</v>
      </c>
      <c r="C59">
        <f t="shared" si="1"/>
        <v>-3.3719445233059259E-3</v>
      </c>
      <c r="D59">
        <f t="shared" si="0"/>
        <v>0.99662805547669409</v>
      </c>
    </row>
    <row r="60" spans="1:4" x14ac:dyDescent="0.3">
      <c r="A60" s="1">
        <v>44603</v>
      </c>
      <c r="B60">
        <v>139948761</v>
      </c>
      <c r="C60">
        <f t="shared" si="1"/>
        <v>-1.3948402841556008E-2</v>
      </c>
      <c r="D60">
        <f t="shared" si="0"/>
        <v>0.98605159715844404</v>
      </c>
    </row>
    <row r="61" spans="1:4" x14ac:dyDescent="0.3">
      <c r="A61" s="1">
        <v>44610</v>
      </c>
      <c r="B61">
        <v>134431152</v>
      </c>
      <c r="C61">
        <f t="shared" si="1"/>
        <v>-3.9425922463150638E-2</v>
      </c>
      <c r="D61">
        <f t="shared" si="0"/>
        <v>0.96057407753684931</v>
      </c>
    </row>
    <row r="62" spans="1:4" x14ac:dyDescent="0.3">
      <c r="A62" s="1">
        <v>44617</v>
      </c>
      <c r="B62">
        <v>131295074</v>
      </c>
      <c r="C62">
        <f t="shared" si="1"/>
        <v>-2.3328506475939446E-2</v>
      </c>
      <c r="D62">
        <f t="shared" si="0"/>
        <v>0.97667149352406057</v>
      </c>
    </row>
    <row r="63" spans="1:4" x14ac:dyDescent="0.3">
      <c r="A63" s="1">
        <v>44624</v>
      </c>
      <c r="B63">
        <v>123513588</v>
      </c>
      <c r="C63">
        <f t="shared" si="1"/>
        <v>-5.9267158796833461E-2</v>
      </c>
      <c r="D63">
        <f t="shared" si="0"/>
        <v>0.94073284120316658</v>
      </c>
    </row>
    <row r="64" spans="1:4" x14ac:dyDescent="0.3">
      <c r="A64" s="1">
        <v>44631</v>
      </c>
      <c r="B64">
        <v>125150970</v>
      </c>
      <c r="C64">
        <f t="shared" si="1"/>
        <v>1.3256695287647217E-2</v>
      </c>
      <c r="D64">
        <f t="shared" si="0"/>
        <v>1.0132566952876472</v>
      </c>
    </row>
    <row r="65" spans="1:4" x14ac:dyDescent="0.3">
      <c r="A65" s="1">
        <v>44638</v>
      </c>
      <c r="B65">
        <v>129738174</v>
      </c>
      <c r="C65">
        <f t="shared" si="1"/>
        <v>3.6653363533658591E-2</v>
      </c>
      <c r="D65">
        <f t="shared" si="0"/>
        <v>1.0366533635336586</v>
      </c>
    </row>
    <row r="66" spans="1:4" x14ac:dyDescent="0.3">
      <c r="A66" s="1">
        <v>44645</v>
      </c>
      <c r="B66">
        <v>132174194</v>
      </c>
      <c r="C66">
        <f t="shared" si="1"/>
        <v>1.8776431985238207E-2</v>
      </c>
      <c r="D66">
        <f t="shared" si="0"/>
        <v>1.0187764319852382</v>
      </c>
    </row>
    <row r="67" spans="1:4" x14ac:dyDescent="0.3">
      <c r="A67" s="1">
        <v>44652</v>
      </c>
      <c r="B67">
        <v>127086052</v>
      </c>
      <c r="C67">
        <f t="shared" si="1"/>
        <v>-3.8495729355459508E-2</v>
      </c>
      <c r="D67">
        <f t="shared" ref="D67:D106" si="2">C67+1</f>
        <v>0.96150427064454047</v>
      </c>
    </row>
    <row r="68" spans="1:4" x14ac:dyDescent="0.3">
      <c r="A68" s="1">
        <v>44659</v>
      </c>
      <c r="B68">
        <v>131093704</v>
      </c>
      <c r="C68">
        <f t="shared" ref="C68:C106" si="3">(B68-B67)/B67</f>
        <v>3.1534947674666927E-2</v>
      </c>
      <c r="D68">
        <f t="shared" si="2"/>
        <v>1.0315349476746669</v>
      </c>
    </row>
    <row r="69" spans="1:4" x14ac:dyDescent="0.3">
      <c r="A69" s="1">
        <v>44666</v>
      </c>
      <c r="B69">
        <v>133058243</v>
      </c>
      <c r="C69">
        <f t="shared" si="3"/>
        <v>1.498576163505152E-2</v>
      </c>
      <c r="D69">
        <f t="shared" si="2"/>
        <v>1.0149857616350515</v>
      </c>
    </row>
    <row r="70" spans="1:4" x14ac:dyDescent="0.3">
      <c r="A70" s="1">
        <v>44673</v>
      </c>
      <c r="B70">
        <v>124797348</v>
      </c>
      <c r="C70">
        <f t="shared" si="3"/>
        <v>-6.2084804471677864E-2</v>
      </c>
      <c r="D70">
        <f t="shared" si="2"/>
        <v>0.93791519552832214</v>
      </c>
    </row>
    <row r="71" spans="1:4" x14ac:dyDescent="0.3">
      <c r="A71" s="1">
        <v>44680</v>
      </c>
      <c r="B71">
        <v>116526634</v>
      </c>
      <c r="C71">
        <f t="shared" si="3"/>
        <v>-6.6273155099417655E-2</v>
      </c>
      <c r="D71">
        <f t="shared" si="2"/>
        <v>0.93372684490058233</v>
      </c>
    </row>
    <row r="72" spans="1:4" x14ac:dyDescent="0.3">
      <c r="A72" s="1">
        <v>44687</v>
      </c>
      <c r="B72">
        <v>105986893</v>
      </c>
      <c r="C72">
        <f t="shared" si="3"/>
        <v>-9.0449201510446095E-2</v>
      </c>
      <c r="D72">
        <f t="shared" si="2"/>
        <v>0.90955079848955389</v>
      </c>
    </row>
    <row r="73" spans="1:4" x14ac:dyDescent="0.3">
      <c r="A73" s="1">
        <v>44694</v>
      </c>
      <c r="B73">
        <v>104552780</v>
      </c>
      <c r="C73">
        <f t="shared" si="3"/>
        <v>-1.3531041050519332E-2</v>
      </c>
      <c r="D73">
        <f t="shared" si="2"/>
        <v>0.98646895894948061</v>
      </c>
    </row>
    <row r="74" spans="1:4" x14ac:dyDescent="0.3">
      <c r="A74" s="1">
        <v>44701</v>
      </c>
      <c r="B74">
        <v>110937515</v>
      </c>
      <c r="C74">
        <f t="shared" si="3"/>
        <v>6.1067099315771423E-2</v>
      </c>
      <c r="D74">
        <f t="shared" si="2"/>
        <v>1.0610670993157714</v>
      </c>
    </row>
    <row r="75" spans="1:4" x14ac:dyDescent="0.3">
      <c r="A75" s="1">
        <v>44708</v>
      </c>
      <c r="B75">
        <v>121221893</v>
      </c>
      <c r="C75">
        <f t="shared" si="3"/>
        <v>9.2704239859708409E-2</v>
      </c>
      <c r="D75">
        <f t="shared" si="2"/>
        <v>1.0927042398597084</v>
      </c>
    </row>
    <row r="76" spans="1:4" x14ac:dyDescent="0.3">
      <c r="A76" s="1">
        <v>44715</v>
      </c>
      <c r="B76">
        <v>116497162</v>
      </c>
      <c r="C76">
        <f t="shared" si="3"/>
        <v>-3.8975888621043064E-2</v>
      </c>
      <c r="D76">
        <f t="shared" si="2"/>
        <v>0.96102411137895694</v>
      </c>
    </row>
    <row r="77" spans="1:4" x14ac:dyDescent="0.3">
      <c r="A77" s="1">
        <v>44722</v>
      </c>
      <c r="B77">
        <v>105481400</v>
      </c>
      <c r="C77">
        <f t="shared" si="3"/>
        <v>-9.4558200482171409E-2</v>
      </c>
      <c r="D77">
        <f t="shared" si="2"/>
        <v>0.90544179951782855</v>
      </c>
    </row>
    <row r="78" spans="1:4" x14ac:dyDescent="0.3">
      <c r="A78" s="1">
        <v>44729</v>
      </c>
      <c r="B78">
        <v>106347946</v>
      </c>
      <c r="C78">
        <f t="shared" si="3"/>
        <v>8.2151545201334074E-3</v>
      </c>
      <c r="D78">
        <f t="shared" si="2"/>
        <v>1.0082151545201334</v>
      </c>
    </row>
    <row r="79" spans="1:4" x14ac:dyDescent="0.3">
      <c r="A79" s="1">
        <v>44736</v>
      </c>
      <c r="B79">
        <v>100636665</v>
      </c>
      <c r="C79">
        <f t="shared" si="3"/>
        <v>-5.3703726445266747E-2</v>
      </c>
      <c r="D79">
        <f t="shared" si="2"/>
        <v>0.94629627355473322</v>
      </c>
    </row>
    <row r="80" spans="1:4" x14ac:dyDescent="0.3">
      <c r="A80" s="1">
        <v>44743</v>
      </c>
      <c r="B80">
        <v>106475945</v>
      </c>
      <c r="C80">
        <f t="shared" si="3"/>
        <v>5.8023385413258674E-2</v>
      </c>
      <c r="D80">
        <f t="shared" si="2"/>
        <v>1.0580233854132586</v>
      </c>
    </row>
    <row r="81" spans="1:4" x14ac:dyDescent="0.3">
      <c r="A81" s="1">
        <v>44750</v>
      </c>
      <c r="B81">
        <v>101641068</v>
      </c>
      <c r="C81">
        <f t="shared" si="3"/>
        <v>-4.5408162378835895E-2</v>
      </c>
      <c r="D81">
        <f t="shared" si="2"/>
        <v>0.95459183762116406</v>
      </c>
    </row>
    <row r="82" spans="1:4" x14ac:dyDescent="0.3">
      <c r="A82" s="1">
        <v>44757</v>
      </c>
      <c r="B82">
        <v>109912567</v>
      </c>
      <c r="C82">
        <f t="shared" si="3"/>
        <v>8.1379497114296359E-2</v>
      </c>
      <c r="D82">
        <f t="shared" si="2"/>
        <v>1.0813794971142963</v>
      </c>
    </row>
    <row r="83" spans="1:4" x14ac:dyDescent="0.3">
      <c r="A83" s="1">
        <v>44764</v>
      </c>
      <c r="B83">
        <v>110513245</v>
      </c>
      <c r="C83">
        <f t="shared" si="3"/>
        <v>5.4650529634159119E-3</v>
      </c>
      <c r="D83">
        <f t="shared" si="2"/>
        <v>1.0054650529634159</v>
      </c>
    </row>
    <row r="84" spans="1:4" x14ac:dyDescent="0.3">
      <c r="A84" s="1">
        <v>44771</v>
      </c>
      <c r="B84">
        <v>112728836</v>
      </c>
      <c r="C84">
        <f t="shared" si="3"/>
        <v>2.0048194223235415E-2</v>
      </c>
      <c r="D84">
        <f t="shared" si="2"/>
        <v>1.0200481942232353</v>
      </c>
    </row>
    <row r="85" spans="1:4" x14ac:dyDescent="0.3">
      <c r="A85" s="1">
        <v>44778</v>
      </c>
      <c r="B85">
        <v>112354630</v>
      </c>
      <c r="C85">
        <f t="shared" si="3"/>
        <v>-3.3195233205459513E-3</v>
      </c>
      <c r="D85">
        <f t="shared" si="2"/>
        <v>0.99668047667945403</v>
      </c>
    </row>
    <row r="86" spans="1:4" x14ac:dyDescent="0.3">
      <c r="A86" s="1">
        <v>44785</v>
      </c>
      <c r="B86">
        <v>114235413</v>
      </c>
      <c r="C86">
        <f t="shared" si="3"/>
        <v>1.6739701781760128E-2</v>
      </c>
      <c r="D86">
        <f t="shared" si="2"/>
        <v>1.0167397017817601</v>
      </c>
    </row>
    <row r="87" spans="1:4" x14ac:dyDescent="0.3">
      <c r="A87" s="1">
        <v>44792</v>
      </c>
      <c r="B87">
        <v>111488091</v>
      </c>
      <c r="C87">
        <f t="shared" si="3"/>
        <v>-2.4049652623919695E-2</v>
      </c>
      <c r="D87">
        <f t="shared" si="2"/>
        <v>0.97595034737608033</v>
      </c>
    </row>
    <row r="88" spans="1:4" x14ac:dyDescent="0.3">
      <c r="A88" s="1">
        <v>44799</v>
      </c>
      <c r="B88">
        <v>104861038</v>
      </c>
      <c r="C88">
        <f t="shared" si="3"/>
        <v>-5.9441801725710779E-2</v>
      </c>
      <c r="D88">
        <f t="shared" si="2"/>
        <v>0.94055819827428921</v>
      </c>
    </row>
    <row r="89" spans="1:4" x14ac:dyDescent="0.3">
      <c r="A89" s="1">
        <v>44806</v>
      </c>
      <c r="B89">
        <v>107066772</v>
      </c>
      <c r="C89">
        <f t="shared" si="3"/>
        <v>2.1034828970508571E-2</v>
      </c>
      <c r="D89">
        <f t="shared" si="2"/>
        <v>1.0210348289705087</v>
      </c>
    </row>
    <row r="90" spans="1:4" x14ac:dyDescent="0.3">
      <c r="A90" s="1">
        <v>44813</v>
      </c>
      <c r="B90">
        <v>104184586</v>
      </c>
      <c r="C90">
        <f t="shared" si="3"/>
        <v>-2.6919518970834388E-2</v>
      </c>
      <c r="D90">
        <f t="shared" si="2"/>
        <v>0.97308048102916556</v>
      </c>
    </row>
    <row r="91" spans="1:4" x14ac:dyDescent="0.3">
      <c r="A91" s="1">
        <v>44820</v>
      </c>
      <c r="B91">
        <v>97321236</v>
      </c>
      <c r="C91">
        <f t="shared" si="3"/>
        <v>-6.5876827499223356E-2</v>
      </c>
      <c r="D91">
        <f t="shared" si="2"/>
        <v>0.93412317250077659</v>
      </c>
    </row>
    <row r="92" spans="1:4" x14ac:dyDescent="0.3">
      <c r="A92" s="1">
        <v>44827</v>
      </c>
      <c r="B92">
        <v>94141388</v>
      </c>
      <c r="C92">
        <f t="shared" si="3"/>
        <v>-3.2673732174959225E-2</v>
      </c>
      <c r="D92">
        <f t="shared" si="2"/>
        <v>0.96732626782504072</v>
      </c>
    </row>
    <row r="93" spans="1:4" x14ac:dyDescent="0.3">
      <c r="A93" s="1">
        <v>44834</v>
      </c>
      <c r="B93">
        <v>89045723</v>
      </c>
      <c r="C93">
        <f t="shared" si="3"/>
        <v>-5.4127787026042151E-2</v>
      </c>
      <c r="D93">
        <f t="shared" si="2"/>
        <v>0.94587221297395785</v>
      </c>
    </row>
    <row r="94" spans="1:4" x14ac:dyDescent="0.3">
      <c r="A94" s="1">
        <v>44841</v>
      </c>
      <c r="B94">
        <v>88443329</v>
      </c>
      <c r="C94">
        <f t="shared" si="3"/>
        <v>-6.7649964501944691E-3</v>
      </c>
      <c r="D94">
        <f t="shared" si="2"/>
        <v>0.99323500354980554</v>
      </c>
    </row>
    <row r="95" spans="1:4" x14ac:dyDescent="0.3">
      <c r="A95" s="1">
        <v>44848</v>
      </c>
      <c r="B95">
        <v>85747375</v>
      </c>
      <c r="C95">
        <f t="shared" si="3"/>
        <v>-3.0482276396448172E-2</v>
      </c>
      <c r="D95">
        <f t="shared" si="2"/>
        <v>0.96951772360355182</v>
      </c>
    </row>
    <row r="96" spans="1:4" x14ac:dyDescent="0.3">
      <c r="A96" s="1">
        <v>44855</v>
      </c>
      <c r="B96">
        <v>89411110</v>
      </c>
      <c r="C96">
        <f t="shared" si="3"/>
        <v>4.2727080566606269E-2</v>
      </c>
      <c r="D96">
        <f t="shared" si="2"/>
        <v>1.0427270805666062</v>
      </c>
    </row>
    <row r="97" spans="1:4" x14ac:dyDescent="0.3">
      <c r="A97" s="1">
        <v>44862</v>
      </c>
      <c r="B97">
        <v>89272858</v>
      </c>
      <c r="C97">
        <f t="shared" si="3"/>
        <v>-1.5462507959022095E-3</v>
      </c>
      <c r="D97">
        <f t="shared" si="2"/>
        <v>0.9984537492040978</v>
      </c>
    </row>
    <row r="98" spans="1:4" x14ac:dyDescent="0.3">
      <c r="A98" s="1">
        <v>44869</v>
      </c>
      <c r="B98">
        <v>98249519</v>
      </c>
      <c r="C98">
        <f t="shared" si="3"/>
        <v>0.10055308187848092</v>
      </c>
      <c r="D98">
        <f t="shared" si="2"/>
        <v>1.100553081878481</v>
      </c>
    </row>
    <row r="99" spans="1:4" x14ac:dyDescent="0.3">
      <c r="A99" s="1">
        <v>44876</v>
      </c>
      <c r="B99">
        <v>104046333</v>
      </c>
      <c r="C99">
        <f t="shared" si="3"/>
        <v>5.9000940248877962E-2</v>
      </c>
      <c r="D99">
        <f t="shared" si="2"/>
        <v>1.059000940248878</v>
      </c>
    </row>
    <row r="100" spans="1:4" x14ac:dyDescent="0.3">
      <c r="A100" s="1">
        <v>44883</v>
      </c>
      <c r="B100">
        <v>105320251</v>
      </c>
      <c r="C100">
        <f t="shared" si="3"/>
        <v>1.2243756827066649E-2</v>
      </c>
      <c r="D100">
        <f t="shared" si="2"/>
        <v>1.0122437568270666</v>
      </c>
    </row>
    <row r="101" spans="1:4" x14ac:dyDescent="0.3">
      <c r="A101" s="1">
        <v>44890</v>
      </c>
      <c r="B101">
        <v>109724632</v>
      </c>
      <c r="C101">
        <f t="shared" si="3"/>
        <v>4.1818937556462904E-2</v>
      </c>
      <c r="D101">
        <f t="shared" si="2"/>
        <v>1.0418189375564628</v>
      </c>
    </row>
    <row r="102" spans="1:4" x14ac:dyDescent="0.3">
      <c r="A102" s="1">
        <v>44897</v>
      </c>
      <c r="B102">
        <v>109971519</v>
      </c>
      <c r="C102">
        <f t="shared" si="3"/>
        <v>2.2500599500757498E-3</v>
      </c>
      <c r="D102">
        <f t="shared" si="2"/>
        <v>1.0022500599500757</v>
      </c>
    </row>
    <row r="103" spans="1:4" x14ac:dyDescent="0.3">
      <c r="A103" s="1">
        <v>44904</v>
      </c>
      <c r="B103">
        <v>107485970</v>
      </c>
      <c r="C103">
        <f t="shared" si="3"/>
        <v>-2.260175200453492E-2</v>
      </c>
      <c r="D103">
        <f t="shared" si="2"/>
        <v>0.97739824799546504</v>
      </c>
    </row>
    <row r="104" spans="1:4" x14ac:dyDescent="0.3">
      <c r="A104" s="1">
        <v>44911</v>
      </c>
      <c r="B104">
        <v>115608574</v>
      </c>
      <c r="C104">
        <f t="shared" si="3"/>
        <v>7.5568969605986719E-2</v>
      </c>
      <c r="D104">
        <f t="shared" si="2"/>
        <v>1.0755689696059867</v>
      </c>
    </row>
    <row r="105" spans="1:4" x14ac:dyDescent="0.3">
      <c r="A105" s="1">
        <v>44918</v>
      </c>
      <c r="B105">
        <v>116242546</v>
      </c>
      <c r="C105">
        <f t="shared" si="3"/>
        <v>5.4837801217061978E-3</v>
      </c>
      <c r="D105">
        <f t="shared" si="2"/>
        <v>1.0054837801217062</v>
      </c>
    </row>
    <row r="106" spans="1:4" x14ac:dyDescent="0.3">
      <c r="A106" s="1">
        <v>44925</v>
      </c>
      <c r="B106">
        <v>115905754</v>
      </c>
      <c r="C106">
        <f t="shared" si="3"/>
        <v>-2.8973212613564057E-3</v>
      </c>
      <c r="D106">
        <f t="shared" si="2"/>
        <v>0.99710267873864356</v>
      </c>
    </row>
    <row r="107" spans="1:4" x14ac:dyDescent="0.3">
      <c r="A107" s="26" t="s">
        <v>5</v>
      </c>
      <c r="B107" s="26"/>
      <c r="C107" s="2">
        <f>AVERAGE(C3:C106)</f>
        <v>-9.0638804466858648E-4</v>
      </c>
      <c r="D107" s="2"/>
    </row>
    <row r="108" spans="1:4" x14ac:dyDescent="0.3">
      <c r="A108" s="26" t="s">
        <v>6</v>
      </c>
      <c r="B108" s="26"/>
      <c r="C108" s="2"/>
      <c r="D108" s="2">
        <f>GEOMEAN(D3:D106)-1</f>
        <v>-1.8823724368549621E-3</v>
      </c>
    </row>
    <row r="109" spans="1:4" x14ac:dyDescent="0.3">
      <c r="A109" s="26" t="s">
        <v>7</v>
      </c>
      <c r="B109" s="26"/>
      <c r="C109" s="2">
        <f>_xlfn.STDEV.S(C3:C106)</f>
        <v>4.4645939530806311E-2</v>
      </c>
      <c r="D109" s="2"/>
    </row>
    <row r="110" spans="1:4" x14ac:dyDescent="0.3">
      <c r="A110" s="26" t="s">
        <v>8</v>
      </c>
      <c r="B110" s="26"/>
      <c r="C110" s="2">
        <f>_xlfn.VAR.S(C3:C106)</f>
        <v>1.9932599165884139E-3</v>
      </c>
      <c r="D110" s="2"/>
    </row>
  </sheetData>
  <mergeCells count="4">
    <mergeCell ref="A107:B107"/>
    <mergeCell ref="A108:B108"/>
    <mergeCell ref="A109:B109"/>
    <mergeCell ref="A110:B11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946A-55DE-458B-9155-E2D545CAAC1B}">
  <dimension ref="A1:D110"/>
  <sheetViews>
    <sheetView topLeftCell="A100" workbookViewId="0">
      <selection activeCell="D108" sqref="D108"/>
    </sheetView>
  </sheetViews>
  <sheetFormatPr defaultRowHeight="14.4" x14ac:dyDescent="0.3"/>
  <cols>
    <col min="1" max="1" width="10.5546875" bestFit="1" customWidth="1"/>
    <col min="2" max="2" width="11" bestFit="1" customWidth="1"/>
    <col min="3" max="3" width="14" customWidth="1"/>
    <col min="4" max="4" width="15.109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 s="1">
        <v>44197</v>
      </c>
      <c r="B2">
        <v>140505096</v>
      </c>
    </row>
    <row r="3" spans="1:4" x14ac:dyDescent="0.3">
      <c r="A3" s="1">
        <v>44204</v>
      </c>
      <c r="B3">
        <v>140811722</v>
      </c>
      <c r="C3">
        <f>(B3-B2)/B2</f>
        <v>2.1823123055977984E-3</v>
      </c>
      <c r="D3">
        <f t="shared" ref="D3:D66" si="0">C3+1</f>
        <v>1.0021823123055977</v>
      </c>
    </row>
    <row r="4" spans="1:4" x14ac:dyDescent="0.3">
      <c r="A4" s="1">
        <v>44211</v>
      </c>
      <c r="B4">
        <v>138780548</v>
      </c>
      <c r="C4">
        <f t="shared" ref="C4:C67" si="1">(B4-B3)/B3</f>
        <v>-1.4424750803061694E-2</v>
      </c>
      <c r="D4">
        <f t="shared" si="0"/>
        <v>0.98557524919693829</v>
      </c>
    </row>
    <row r="5" spans="1:4" x14ac:dyDescent="0.3">
      <c r="A5" s="1">
        <v>44218</v>
      </c>
      <c r="B5">
        <v>137726639</v>
      </c>
      <c r="C5">
        <f t="shared" si="1"/>
        <v>-7.594068586614891E-3</v>
      </c>
      <c r="D5">
        <f t="shared" si="0"/>
        <v>0.99240593141338507</v>
      </c>
    </row>
    <row r="6" spans="1:4" x14ac:dyDescent="0.3">
      <c r="A6" s="1">
        <v>44225</v>
      </c>
      <c r="B6">
        <v>136557755</v>
      </c>
      <c r="C6">
        <f t="shared" si="1"/>
        <v>-8.4869855859911018E-3</v>
      </c>
      <c r="D6">
        <f t="shared" si="0"/>
        <v>0.99151301441400885</v>
      </c>
    </row>
    <row r="7" spans="1:4" x14ac:dyDescent="0.3">
      <c r="A7" s="1">
        <v>44232</v>
      </c>
      <c r="B7">
        <v>137985321</v>
      </c>
      <c r="C7">
        <f t="shared" si="1"/>
        <v>1.0453935772450271E-2</v>
      </c>
      <c r="D7">
        <f t="shared" si="0"/>
        <v>1.0104539357724502</v>
      </c>
    </row>
    <row r="8" spans="1:4" x14ac:dyDescent="0.3">
      <c r="A8" s="1">
        <v>44239</v>
      </c>
      <c r="B8">
        <v>131891800</v>
      </c>
      <c r="C8">
        <f t="shared" si="1"/>
        <v>-4.416064662414345E-2</v>
      </c>
      <c r="D8">
        <f t="shared" si="0"/>
        <v>0.95583935337585657</v>
      </c>
    </row>
    <row r="9" spans="1:4" x14ac:dyDescent="0.3">
      <c r="A9" s="1">
        <v>44246</v>
      </c>
      <c r="B9">
        <v>126421074</v>
      </c>
      <c r="C9">
        <f t="shared" si="1"/>
        <v>-4.1478894063163893E-2</v>
      </c>
      <c r="D9">
        <f t="shared" si="0"/>
        <v>0.95852110593683615</v>
      </c>
    </row>
    <row r="10" spans="1:4" x14ac:dyDescent="0.3">
      <c r="A10" s="1">
        <v>44253</v>
      </c>
      <c r="B10">
        <v>122186279</v>
      </c>
      <c r="C10">
        <f t="shared" si="1"/>
        <v>-3.3497540133221773E-2</v>
      </c>
      <c r="D10">
        <f t="shared" si="0"/>
        <v>0.96650245986677819</v>
      </c>
    </row>
    <row r="11" spans="1:4" x14ac:dyDescent="0.3">
      <c r="A11" s="1">
        <v>44260</v>
      </c>
      <c r="B11">
        <v>126593529</v>
      </c>
      <c r="C11">
        <f t="shared" si="1"/>
        <v>3.606992565834663E-2</v>
      </c>
      <c r="D11">
        <f t="shared" si="0"/>
        <v>1.0360699256583465</v>
      </c>
    </row>
    <row r="12" spans="1:4" x14ac:dyDescent="0.3">
      <c r="A12" s="1">
        <v>44267</v>
      </c>
      <c r="B12">
        <v>124562370</v>
      </c>
      <c r="C12">
        <f t="shared" si="1"/>
        <v>-1.6044730058832626E-2</v>
      </c>
      <c r="D12">
        <f t="shared" si="0"/>
        <v>0.98395526994116733</v>
      </c>
    </row>
    <row r="13" spans="1:4" x14ac:dyDescent="0.3">
      <c r="A13" s="1">
        <v>44274</v>
      </c>
      <c r="B13">
        <v>128930817</v>
      </c>
      <c r="C13">
        <f t="shared" si="1"/>
        <v>3.5070358728723612E-2</v>
      </c>
      <c r="D13">
        <f t="shared" si="0"/>
        <v>1.0350703587287235</v>
      </c>
    </row>
    <row r="14" spans="1:4" x14ac:dyDescent="0.3">
      <c r="A14" s="1">
        <v>44281</v>
      </c>
      <c r="B14">
        <v>130479828</v>
      </c>
      <c r="C14">
        <f t="shared" si="1"/>
        <v>1.2014280495872449E-2</v>
      </c>
      <c r="D14">
        <f t="shared" si="0"/>
        <v>1.0120142804958725</v>
      </c>
    </row>
    <row r="15" spans="1:4" x14ac:dyDescent="0.3">
      <c r="A15" s="1">
        <v>44288</v>
      </c>
      <c r="B15">
        <v>134414810</v>
      </c>
      <c r="C15">
        <f t="shared" si="1"/>
        <v>3.0157780404186308E-2</v>
      </c>
      <c r="D15">
        <f t="shared" si="0"/>
        <v>1.0301577804041864</v>
      </c>
    </row>
    <row r="16" spans="1:4" x14ac:dyDescent="0.3">
      <c r="A16" s="1">
        <v>44295</v>
      </c>
      <c r="B16">
        <v>134847763</v>
      </c>
      <c r="C16">
        <f t="shared" si="1"/>
        <v>3.2210215526101626E-3</v>
      </c>
      <c r="D16">
        <f t="shared" si="0"/>
        <v>1.0032210215526101</v>
      </c>
    </row>
    <row r="17" spans="1:4" x14ac:dyDescent="0.3">
      <c r="A17" s="1">
        <v>44302</v>
      </c>
      <c r="B17">
        <v>134376297</v>
      </c>
      <c r="C17">
        <f t="shared" si="1"/>
        <v>-3.4962834348242025E-3</v>
      </c>
      <c r="D17">
        <f t="shared" si="0"/>
        <v>0.99650371656517578</v>
      </c>
    </row>
    <row r="18" spans="1:4" x14ac:dyDescent="0.3">
      <c r="A18" s="1">
        <v>44309</v>
      </c>
      <c r="B18">
        <v>134337830</v>
      </c>
      <c r="C18">
        <f t="shared" si="1"/>
        <v>-2.8626328347178671E-4</v>
      </c>
      <c r="D18">
        <f t="shared" si="0"/>
        <v>0.99971373671652819</v>
      </c>
    </row>
    <row r="19" spans="1:4" x14ac:dyDescent="0.3">
      <c r="A19" s="1">
        <v>44316</v>
      </c>
      <c r="B19">
        <v>135704025</v>
      </c>
      <c r="C19">
        <f t="shared" si="1"/>
        <v>1.0169845679359269E-2</v>
      </c>
      <c r="D19">
        <f t="shared" si="0"/>
        <v>1.0101698456793593</v>
      </c>
    </row>
    <row r="20" spans="1:4" x14ac:dyDescent="0.3">
      <c r="A20" s="1">
        <v>44323</v>
      </c>
      <c r="B20">
        <v>133522827</v>
      </c>
      <c r="C20">
        <f t="shared" si="1"/>
        <v>-1.6073200481710105E-2</v>
      </c>
      <c r="D20">
        <f t="shared" si="0"/>
        <v>0.98392679951828987</v>
      </c>
    </row>
    <row r="21" spans="1:4" x14ac:dyDescent="0.3">
      <c r="A21" s="1">
        <v>44330</v>
      </c>
      <c r="B21">
        <v>137560196</v>
      </c>
      <c r="C21">
        <f t="shared" si="1"/>
        <v>3.0237294181915425E-2</v>
      </c>
      <c r="D21">
        <f t="shared" si="0"/>
        <v>1.0302372941819153</v>
      </c>
    </row>
    <row r="22" spans="1:4" x14ac:dyDescent="0.3">
      <c r="A22" s="1">
        <v>44337</v>
      </c>
      <c r="B22">
        <v>136855087</v>
      </c>
      <c r="C22">
        <f t="shared" si="1"/>
        <v>-5.1258214258432721E-3</v>
      </c>
      <c r="D22">
        <f t="shared" si="0"/>
        <v>0.99487417857415672</v>
      </c>
    </row>
    <row r="23" spans="1:4" x14ac:dyDescent="0.3">
      <c r="A23" s="1">
        <v>44344</v>
      </c>
      <c r="B23">
        <v>136768173</v>
      </c>
      <c r="C23">
        <f t="shared" si="1"/>
        <v>-6.350805213400653E-4</v>
      </c>
      <c r="D23">
        <f t="shared" si="0"/>
        <v>0.99936491947865991</v>
      </c>
    </row>
    <row r="24" spans="1:4" x14ac:dyDescent="0.3">
      <c r="A24" s="1">
        <v>44351</v>
      </c>
      <c r="B24">
        <v>135106873</v>
      </c>
      <c r="C24">
        <f t="shared" si="1"/>
        <v>-1.2146831851003815E-2</v>
      </c>
      <c r="D24">
        <f t="shared" si="0"/>
        <v>0.98785316814899615</v>
      </c>
    </row>
    <row r="25" spans="1:4" x14ac:dyDescent="0.3">
      <c r="A25" s="1">
        <v>44358</v>
      </c>
      <c r="B25">
        <v>133020554</v>
      </c>
      <c r="C25">
        <f t="shared" si="1"/>
        <v>-1.5441990134728379E-2</v>
      </c>
      <c r="D25">
        <f t="shared" si="0"/>
        <v>0.98455800986527164</v>
      </c>
    </row>
    <row r="26" spans="1:4" x14ac:dyDescent="0.3">
      <c r="A26" s="1">
        <v>44365</v>
      </c>
      <c r="B26">
        <v>132238220</v>
      </c>
      <c r="C26">
        <f t="shared" si="1"/>
        <v>-5.8813016220034689E-3</v>
      </c>
      <c r="D26">
        <f t="shared" si="0"/>
        <v>0.99411869837799649</v>
      </c>
    </row>
    <row r="27" spans="1:4" x14ac:dyDescent="0.3">
      <c r="A27" s="1">
        <v>44372</v>
      </c>
      <c r="B27">
        <v>134565979</v>
      </c>
      <c r="C27">
        <f t="shared" si="1"/>
        <v>1.7602770212726698E-2</v>
      </c>
      <c r="D27">
        <f t="shared" si="0"/>
        <v>1.0176027702127266</v>
      </c>
    </row>
    <row r="28" spans="1:4" x14ac:dyDescent="0.3">
      <c r="A28" s="1">
        <v>44379</v>
      </c>
      <c r="B28">
        <v>134826752</v>
      </c>
      <c r="C28">
        <f t="shared" si="1"/>
        <v>1.9378820853374833E-3</v>
      </c>
      <c r="D28">
        <f t="shared" si="0"/>
        <v>1.0019378820853375</v>
      </c>
    </row>
    <row r="29" spans="1:4" x14ac:dyDescent="0.3">
      <c r="A29" s="1">
        <v>44386</v>
      </c>
      <c r="B29">
        <v>136826096</v>
      </c>
      <c r="C29">
        <f t="shared" si="1"/>
        <v>1.4828985867730463E-2</v>
      </c>
      <c r="D29">
        <f t="shared" si="0"/>
        <v>1.0148289858677304</v>
      </c>
    </row>
    <row r="30" spans="1:4" x14ac:dyDescent="0.3">
      <c r="A30" s="1">
        <v>44393</v>
      </c>
      <c r="B30">
        <v>136449463</v>
      </c>
      <c r="C30">
        <f t="shared" si="1"/>
        <v>-2.7526401104070088E-3</v>
      </c>
      <c r="D30">
        <f t="shared" si="0"/>
        <v>0.99724735988959301</v>
      </c>
    </row>
    <row r="31" spans="1:4" x14ac:dyDescent="0.3">
      <c r="A31" s="1">
        <v>44400</v>
      </c>
      <c r="B31">
        <v>137386337</v>
      </c>
      <c r="C31">
        <f t="shared" si="1"/>
        <v>6.8660878496824866E-3</v>
      </c>
      <c r="D31">
        <f t="shared" si="0"/>
        <v>1.0068660878496825</v>
      </c>
    </row>
    <row r="32" spans="1:4" x14ac:dyDescent="0.3">
      <c r="A32" s="1">
        <v>44407</v>
      </c>
      <c r="B32">
        <v>140525436</v>
      </c>
      <c r="C32">
        <f t="shared" si="1"/>
        <v>2.2848698557266289E-2</v>
      </c>
      <c r="D32">
        <f t="shared" si="0"/>
        <v>1.0228486985572662</v>
      </c>
    </row>
    <row r="33" spans="1:4" x14ac:dyDescent="0.3">
      <c r="A33" s="1">
        <v>44414</v>
      </c>
      <c r="B33">
        <v>143973602</v>
      </c>
      <c r="C33">
        <f t="shared" si="1"/>
        <v>2.4537664483745135E-2</v>
      </c>
      <c r="D33">
        <f t="shared" si="0"/>
        <v>1.0245376644837452</v>
      </c>
    </row>
    <row r="34" spans="1:4" x14ac:dyDescent="0.3">
      <c r="A34" s="1">
        <v>44421</v>
      </c>
      <c r="B34">
        <v>145521347</v>
      </c>
      <c r="C34">
        <f t="shared" si="1"/>
        <v>1.0750199887337681E-2</v>
      </c>
      <c r="D34">
        <f t="shared" si="0"/>
        <v>1.0107501998873376</v>
      </c>
    </row>
    <row r="35" spans="1:4" x14ac:dyDescent="0.3">
      <c r="A35" s="1">
        <v>44428</v>
      </c>
      <c r="B35">
        <v>142845688</v>
      </c>
      <c r="C35">
        <f t="shared" si="1"/>
        <v>-1.838671133246176E-2</v>
      </c>
      <c r="D35">
        <f t="shared" si="0"/>
        <v>0.98161328866753828</v>
      </c>
    </row>
    <row r="36" spans="1:4" x14ac:dyDescent="0.3">
      <c r="A36" s="1">
        <v>44435</v>
      </c>
      <c r="B36">
        <v>144018677</v>
      </c>
      <c r="C36">
        <f t="shared" si="1"/>
        <v>8.2115814374459795E-3</v>
      </c>
      <c r="D36">
        <f t="shared" si="0"/>
        <v>1.0082115814374459</v>
      </c>
    </row>
    <row r="37" spans="1:4" x14ac:dyDescent="0.3">
      <c r="A37" s="1">
        <v>44442</v>
      </c>
      <c r="B37">
        <v>141944122</v>
      </c>
      <c r="C37">
        <f t="shared" si="1"/>
        <v>-1.4404763626595459E-2</v>
      </c>
      <c r="D37">
        <f t="shared" si="0"/>
        <v>0.98559523637340452</v>
      </c>
    </row>
    <row r="38" spans="1:4" x14ac:dyDescent="0.3">
      <c r="A38" s="1">
        <v>44449</v>
      </c>
      <c r="B38">
        <v>140596619</v>
      </c>
      <c r="C38">
        <f t="shared" si="1"/>
        <v>-9.4931933849293181E-3</v>
      </c>
      <c r="D38">
        <f t="shared" si="0"/>
        <v>0.99050680661507073</v>
      </c>
    </row>
    <row r="39" spans="1:4" x14ac:dyDescent="0.3">
      <c r="A39" s="1">
        <v>44456</v>
      </c>
      <c r="B39">
        <v>138405701</v>
      </c>
      <c r="C39">
        <f t="shared" si="1"/>
        <v>-1.5583006302591103E-2</v>
      </c>
      <c r="D39">
        <f t="shared" si="0"/>
        <v>0.98441699369740887</v>
      </c>
    </row>
    <row r="40" spans="1:4" x14ac:dyDescent="0.3">
      <c r="A40" s="1">
        <v>44463</v>
      </c>
      <c r="B40">
        <v>135119339</v>
      </c>
      <c r="C40">
        <f t="shared" si="1"/>
        <v>-2.3744412088921106E-2</v>
      </c>
      <c r="D40">
        <f t="shared" si="0"/>
        <v>0.97625558791107891</v>
      </c>
    </row>
    <row r="41" spans="1:4" x14ac:dyDescent="0.3">
      <c r="A41" s="1">
        <v>44470</v>
      </c>
      <c r="B41">
        <v>134983612</v>
      </c>
      <c r="C41">
        <f t="shared" si="1"/>
        <v>-1.0044972170860013E-3</v>
      </c>
      <c r="D41">
        <f t="shared" si="0"/>
        <v>0.99899550278291405</v>
      </c>
    </row>
    <row r="42" spans="1:4" x14ac:dyDescent="0.3">
      <c r="A42" s="1">
        <v>44477</v>
      </c>
      <c r="B42">
        <v>135594345</v>
      </c>
      <c r="C42">
        <f t="shared" si="1"/>
        <v>4.5244973886163307E-3</v>
      </c>
      <c r="D42">
        <f t="shared" si="0"/>
        <v>1.0045244973886163</v>
      </c>
    </row>
    <row r="43" spans="1:4" x14ac:dyDescent="0.3">
      <c r="A43" s="1">
        <v>44484</v>
      </c>
      <c r="B43">
        <v>142322189</v>
      </c>
      <c r="C43">
        <f t="shared" si="1"/>
        <v>4.9617437954363068E-2</v>
      </c>
      <c r="D43">
        <f t="shared" si="0"/>
        <v>1.049617437954363</v>
      </c>
    </row>
    <row r="44" spans="1:4" x14ac:dyDescent="0.3">
      <c r="A44" s="1">
        <v>44491</v>
      </c>
      <c r="B44">
        <v>143912048</v>
      </c>
      <c r="C44">
        <f t="shared" si="1"/>
        <v>1.1170844203358902E-2</v>
      </c>
      <c r="D44">
        <f t="shared" si="0"/>
        <v>1.0111708442033589</v>
      </c>
    </row>
    <row r="45" spans="1:4" x14ac:dyDescent="0.3">
      <c r="A45" s="1">
        <v>44498</v>
      </c>
      <c r="B45">
        <v>146655548</v>
      </c>
      <c r="C45">
        <f t="shared" si="1"/>
        <v>1.9063727034167425E-2</v>
      </c>
      <c r="D45">
        <f t="shared" si="0"/>
        <v>1.0190637270341674</v>
      </c>
    </row>
    <row r="46" spans="1:4" x14ac:dyDescent="0.3">
      <c r="A46" s="1">
        <v>44505</v>
      </c>
      <c r="B46">
        <v>143960526</v>
      </c>
      <c r="C46">
        <f t="shared" si="1"/>
        <v>-1.8376543109027147E-2</v>
      </c>
      <c r="D46">
        <f t="shared" si="0"/>
        <v>0.98162345689097286</v>
      </c>
    </row>
    <row r="47" spans="1:4" x14ac:dyDescent="0.3">
      <c r="A47" s="1">
        <v>44512</v>
      </c>
      <c r="B47">
        <v>138783798</v>
      </c>
      <c r="C47">
        <f t="shared" si="1"/>
        <v>-3.5959357358835993E-2</v>
      </c>
      <c r="D47">
        <f t="shared" si="0"/>
        <v>0.96404064264116396</v>
      </c>
    </row>
    <row r="48" spans="1:4" x14ac:dyDescent="0.3">
      <c r="A48" s="1">
        <v>44519</v>
      </c>
      <c r="B48">
        <v>142060440</v>
      </c>
      <c r="C48">
        <f t="shared" si="1"/>
        <v>2.3609686773379698E-2</v>
      </c>
      <c r="D48">
        <f t="shared" si="0"/>
        <v>1.0236096867733797</v>
      </c>
    </row>
    <row r="49" spans="1:4" x14ac:dyDescent="0.3">
      <c r="A49" s="1">
        <v>44526</v>
      </c>
      <c r="B49">
        <v>131328827</v>
      </c>
      <c r="C49">
        <f t="shared" si="1"/>
        <v>-7.554258595848358E-2</v>
      </c>
      <c r="D49">
        <f t="shared" si="0"/>
        <v>0.92445741404151638</v>
      </c>
    </row>
    <row r="50" spans="1:4" x14ac:dyDescent="0.3">
      <c r="A50" s="1">
        <v>44533</v>
      </c>
      <c r="B50">
        <v>134266235</v>
      </c>
      <c r="C50">
        <f t="shared" si="1"/>
        <v>2.2366818215775276E-2</v>
      </c>
      <c r="D50">
        <f t="shared" si="0"/>
        <v>1.0223668182157752</v>
      </c>
    </row>
    <row r="51" spans="1:4" x14ac:dyDescent="0.3">
      <c r="A51" s="1">
        <v>44540</v>
      </c>
      <c r="B51">
        <v>139517746</v>
      </c>
      <c r="C51">
        <f t="shared" si="1"/>
        <v>3.9112670434230917E-2</v>
      </c>
      <c r="D51">
        <f t="shared" si="0"/>
        <v>1.0391126704342308</v>
      </c>
    </row>
    <row r="52" spans="1:4" x14ac:dyDescent="0.3">
      <c r="A52" s="1">
        <v>44547</v>
      </c>
      <c r="B52">
        <v>135770447</v>
      </c>
      <c r="C52">
        <f t="shared" si="1"/>
        <v>-2.6858941657500687E-2</v>
      </c>
      <c r="D52">
        <f t="shared" si="0"/>
        <v>0.97314105834249931</v>
      </c>
    </row>
    <row r="53" spans="1:4" x14ac:dyDescent="0.3">
      <c r="A53" s="1">
        <v>44554</v>
      </c>
      <c r="B53">
        <v>139352310</v>
      </c>
      <c r="C53">
        <f t="shared" si="1"/>
        <v>2.638175743797912E-2</v>
      </c>
      <c r="D53">
        <f t="shared" si="0"/>
        <v>1.0263817574379792</v>
      </c>
    </row>
    <row r="54" spans="1:4" x14ac:dyDescent="0.3">
      <c r="A54" s="1">
        <v>44561</v>
      </c>
      <c r="B54">
        <v>139692932</v>
      </c>
      <c r="C54">
        <f t="shared" si="1"/>
        <v>2.4443225950111628E-3</v>
      </c>
      <c r="D54">
        <f t="shared" si="0"/>
        <v>1.0024443225950113</v>
      </c>
    </row>
    <row r="55" spans="1:4" x14ac:dyDescent="0.3">
      <c r="A55" s="1">
        <v>44568</v>
      </c>
      <c r="B55">
        <v>141590988</v>
      </c>
      <c r="C55">
        <f t="shared" si="1"/>
        <v>1.3587344562286087E-2</v>
      </c>
      <c r="D55">
        <f t="shared" si="0"/>
        <v>1.0135873445622861</v>
      </c>
    </row>
    <row r="56" spans="1:4" x14ac:dyDescent="0.3">
      <c r="A56" s="1">
        <v>44575</v>
      </c>
      <c r="B56">
        <v>137454285</v>
      </c>
      <c r="C56">
        <f t="shared" si="1"/>
        <v>-2.9215863653695249E-2</v>
      </c>
      <c r="D56">
        <f t="shared" si="0"/>
        <v>0.97078413634630478</v>
      </c>
    </row>
    <row r="57" spans="1:4" x14ac:dyDescent="0.3">
      <c r="A57" s="1">
        <v>44582</v>
      </c>
      <c r="B57">
        <v>132217743</v>
      </c>
      <c r="C57">
        <f t="shared" si="1"/>
        <v>-3.8096607901310607E-2</v>
      </c>
      <c r="D57">
        <f t="shared" si="0"/>
        <v>0.96190339209868936</v>
      </c>
    </row>
    <row r="58" spans="1:4" x14ac:dyDescent="0.3">
      <c r="A58" s="1">
        <v>44589</v>
      </c>
      <c r="B58">
        <v>137230438</v>
      </c>
      <c r="C58">
        <f t="shared" si="1"/>
        <v>3.7912422994544691E-2</v>
      </c>
      <c r="D58">
        <f t="shared" si="0"/>
        <v>1.0379124229945447</v>
      </c>
    </row>
    <row r="59" spans="1:4" x14ac:dyDescent="0.3">
      <c r="A59" s="1">
        <v>44596</v>
      </c>
      <c r="B59">
        <v>132451355</v>
      </c>
      <c r="C59">
        <f t="shared" si="1"/>
        <v>-3.4825240447020941E-2</v>
      </c>
      <c r="D59">
        <f t="shared" si="0"/>
        <v>0.96517475955297904</v>
      </c>
    </row>
    <row r="60" spans="1:4" x14ac:dyDescent="0.3">
      <c r="A60" s="1">
        <v>44603</v>
      </c>
      <c r="B60">
        <v>135176697</v>
      </c>
      <c r="C60">
        <f t="shared" si="1"/>
        <v>2.0576173041038349E-2</v>
      </c>
      <c r="D60">
        <f t="shared" si="0"/>
        <v>1.0205761730410383</v>
      </c>
    </row>
    <row r="61" spans="1:4" x14ac:dyDescent="0.3">
      <c r="A61" s="1">
        <v>44610</v>
      </c>
      <c r="B61">
        <v>130942703</v>
      </c>
      <c r="C61">
        <f t="shared" si="1"/>
        <v>-3.1321922298486106E-2</v>
      </c>
      <c r="D61">
        <f t="shared" si="0"/>
        <v>0.96867807770151393</v>
      </c>
    </row>
    <row r="62" spans="1:4" x14ac:dyDescent="0.3">
      <c r="A62" s="1">
        <v>44617</v>
      </c>
      <c r="B62">
        <v>135575760</v>
      </c>
      <c r="C62">
        <f t="shared" si="1"/>
        <v>3.5382322908058497E-2</v>
      </c>
      <c r="D62">
        <f t="shared" si="0"/>
        <v>1.0353823229080585</v>
      </c>
    </row>
    <row r="63" spans="1:4" x14ac:dyDescent="0.3">
      <c r="A63" s="1">
        <v>44624</v>
      </c>
      <c r="B63">
        <v>138826691</v>
      </c>
      <c r="C63">
        <f t="shared" si="1"/>
        <v>2.3978703862696401E-2</v>
      </c>
      <c r="D63">
        <f t="shared" si="0"/>
        <v>1.0239787038626964</v>
      </c>
    </row>
    <row r="64" spans="1:4" x14ac:dyDescent="0.3">
      <c r="A64" s="1">
        <v>44631</v>
      </c>
      <c r="B64">
        <v>141143250</v>
      </c>
      <c r="C64">
        <f t="shared" si="1"/>
        <v>1.66866975169782E-2</v>
      </c>
      <c r="D64">
        <f t="shared" si="0"/>
        <v>1.0166866975169782</v>
      </c>
    </row>
    <row r="65" spans="1:4" x14ac:dyDescent="0.3">
      <c r="A65" s="1">
        <v>44638</v>
      </c>
      <c r="B65">
        <v>139559067</v>
      </c>
      <c r="C65">
        <f t="shared" si="1"/>
        <v>-1.1223937382765382E-2</v>
      </c>
      <c r="D65">
        <f t="shared" si="0"/>
        <v>0.98877606261723461</v>
      </c>
    </row>
    <row r="66" spans="1:4" x14ac:dyDescent="0.3">
      <c r="A66" s="1">
        <v>44645</v>
      </c>
      <c r="B66">
        <v>145509583</v>
      </c>
      <c r="C66">
        <f t="shared" si="1"/>
        <v>4.2637974929998636E-2</v>
      </c>
      <c r="D66">
        <f t="shared" si="0"/>
        <v>1.0426379749299985</v>
      </c>
    </row>
    <row r="67" spans="1:4" x14ac:dyDescent="0.3">
      <c r="A67" s="1">
        <v>44652</v>
      </c>
      <c r="B67">
        <v>152955078</v>
      </c>
      <c r="C67">
        <f t="shared" si="1"/>
        <v>5.1168416859527388E-2</v>
      </c>
      <c r="D67">
        <f t="shared" ref="D67:D106" si="2">C67+1</f>
        <v>1.0511684168595274</v>
      </c>
    </row>
    <row r="68" spans="1:4" x14ac:dyDescent="0.3">
      <c r="A68" s="1">
        <v>44659</v>
      </c>
      <c r="B68">
        <v>153482727</v>
      </c>
      <c r="C68">
        <f t="shared" ref="C68:C106" si="3">(B68-B67)/B67</f>
        <v>3.4496991332317846E-3</v>
      </c>
      <c r="D68">
        <f t="shared" si="2"/>
        <v>1.0034496991332318</v>
      </c>
    </row>
    <row r="69" spans="1:4" x14ac:dyDescent="0.3">
      <c r="A69" s="1">
        <v>44666</v>
      </c>
      <c r="B69">
        <v>156208817</v>
      </c>
      <c r="C69">
        <f t="shared" si="3"/>
        <v>1.7761542639257381E-2</v>
      </c>
      <c r="D69">
        <f t="shared" si="2"/>
        <v>1.0177615426392574</v>
      </c>
    </row>
    <row r="70" spans="1:4" x14ac:dyDescent="0.3">
      <c r="A70" s="1">
        <v>44673</v>
      </c>
      <c r="B70">
        <v>152632660</v>
      </c>
      <c r="C70">
        <f t="shared" si="3"/>
        <v>-2.2893438851150125E-2</v>
      </c>
      <c r="D70">
        <f t="shared" si="2"/>
        <v>0.97710656114884986</v>
      </c>
    </row>
    <row r="71" spans="1:4" x14ac:dyDescent="0.3">
      <c r="A71" s="1">
        <v>44680</v>
      </c>
      <c r="B71">
        <v>149242126</v>
      </c>
      <c r="C71">
        <f t="shared" si="3"/>
        <v>-2.2213686114099039E-2</v>
      </c>
      <c r="D71">
        <f t="shared" si="2"/>
        <v>0.97778631388590098</v>
      </c>
    </row>
    <row r="72" spans="1:4" x14ac:dyDescent="0.3">
      <c r="A72" s="1">
        <v>44687</v>
      </c>
      <c r="B72">
        <v>144626358</v>
      </c>
      <c r="C72">
        <f t="shared" si="3"/>
        <v>-3.0928050435304038E-2</v>
      </c>
      <c r="D72">
        <f t="shared" si="2"/>
        <v>0.969071949564696</v>
      </c>
    </row>
    <row r="73" spans="1:4" x14ac:dyDescent="0.3">
      <c r="A73" s="1">
        <v>44694</v>
      </c>
      <c r="B73">
        <v>116766075</v>
      </c>
      <c r="C73">
        <f t="shared" si="3"/>
        <v>-0.19263627588547863</v>
      </c>
      <c r="D73">
        <f t="shared" si="2"/>
        <v>0.8073637241145214</v>
      </c>
    </row>
    <row r="74" spans="1:4" x14ac:dyDescent="0.3">
      <c r="A74" s="1">
        <v>44701</v>
      </c>
      <c r="B74">
        <v>123561981</v>
      </c>
      <c r="C74">
        <f t="shared" si="3"/>
        <v>5.82010314211555E-2</v>
      </c>
      <c r="D74">
        <f t="shared" si="2"/>
        <v>1.0582010314211554</v>
      </c>
    </row>
    <row r="75" spans="1:4" x14ac:dyDescent="0.3">
      <c r="A75" s="1">
        <v>44708</v>
      </c>
      <c r="B75">
        <v>125042770</v>
      </c>
      <c r="C75">
        <f t="shared" si="3"/>
        <v>1.1984179826317288E-2</v>
      </c>
      <c r="D75">
        <f t="shared" si="2"/>
        <v>1.0119841798263174</v>
      </c>
    </row>
    <row r="76" spans="1:4" x14ac:dyDescent="0.3">
      <c r="A76" s="1">
        <v>44715</v>
      </c>
      <c r="B76">
        <v>118678345</v>
      </c>
      <c r="C76">
        <f t="shared" si="3"/>
        <v>-5.0897984745539464E-2</v>
      </c>
      <c r="D76">
        <f t="shared" si="2"/>
        <v>0.94910201525446058</v>
      </c>
    </row>
    <row r="77" spans="1:4" x14ac:dyDescent="0.3">
      <c r="A77" s="1">
        <v>44722</v>
      </c>
      <c r="B77">
        <v>118286095</v>
      </c>
      <c r="C77">
        <f t="shared" si="3"/>
        <v>-3.3051522584006373E-3</v>
      </c>
      <c r="D77">
        <f t="shared" si="2"/>
        <v>0.99669484774159933</v>
      </c>
    </row>
    <row r="78" spans="1:4" x14ac:dyDescent="0.3">
      <c r="A78" s="1">
        <v>44729</v>
      </c>
      <c r="B78">
        <v>121228043</v>
      </c>
      <c r="C78">
        <f t="shared" si="3"/>
        <v>2.487146101154155E-2</v>
      </c>
      <c r="D78">
        <f t="shared" si="2"/>
        <v>1.0248714610115415</v>
      </c>
    </row>
    <row r="79" spans="1:4" x14ac:dyDescent="0.3">
      <c r="A79" s="1">
        <v>44736</v>
      </c>
      <c r="B79">
        <v>119227524</v>
      </c>
      <c r="C79">
        <f t="shared" si="3"/>
        <v>-1.6502114118925437E-2</v>
      </c>
      <c r="D79">
        <f t="shared" si="2"/>
        <v>0.98349788588107456</v>
      </c>
    </row>
    <row r="80" spans="1:4" x14ac:dyDescent="0.3">
      <c r="A80" s="1">
        <v>44743</v>
      </c>
      <c r="B80">
        <v>122895149</v>
      </c>
      <c r="C80">
        <f t="shared" si="3"/>
        <v>3.0761563076660052E-2</v>
      </c>
      <c r="D80">
        <f t="shared" si="2"/>
        <v>1.03076156307666</v>
      </c>
    </row>
    <row r="81" spans="1:4" x14ac:dyDescent="0.3">
      <c r="A81" s="1">
        <v>44750</v>
      </c>
      <c r="B81">
        <v>125346786</v>
      </c>
      <c r="C81">
        <f t="shared" si="3"/>
        <v>1.9949013609967634E-2</v>
      </c>
      <c r="D81">
        <f t="shared" si="2"/>
        <v>1.0199490136099676</v>
      </c>
    </row>
    <row r="82" spans="1:4" x14ac:dyDescent="0.3">
      <c r="A82" s="1">
        <v>44757</v>
      </c>
      <c r="B82">
        <v>129985260</v>
      </c>
      <c r="C82">
        <f t="shared" si="3"/>
        <v>3.7005129114359582E-2</v>
      </c>
      <c r="D82">
        <f t="shared" si="2"/>
        <v>1.0370051291143596</v>
      </c>
    </row>
    <row r="83" spans="1:4" x14ac:dyDescent="0.3">
      <c r="A83" s="1">
        <v>44764</v>
      </c>
      <c r="B83">
        <v>127239433</v>
      </c>
      <c r="C83">
        <f t="shared" si="3"/>
        <v>-2.1124141306483518E-2</v>
      </c>
      <c r="D83">
        <f t="shared" si="2"/>
        <v>0.97887585869351645</v>
      </c>
    </row>
    <row r="84" spans="1:4" x14ac:dyDescent="0.3">
      <c r="A84" s="1">
        <v>44771</v>
      </c>
      <c r="B84">
        <v>123140305</v>
      </c>
      <c r="C84">
        <f t="shared" si="3"/>
        <v>-3.2215861886149715E-2</v>
      </c>
      <c r="D84">
        <f t="shared" si="2"/>
        <v>0.96778413811385033</v>
      </c>
    </row>
    <row r="85" spans="1:4" x14ac:dyDescent="0.3">
      <c r="A85" s="1">
        <v>44778</v>
      </c>
      <c r="B85">
        <v>127308075</v>
      </c>
      <c r="C85">
        <f t="shared" si="3"/>
        <v>3.3845701454125847E-2</v>
      </c>
      <c r="D85">
        <f t="shared" si="2"/>
        <v>1.0338457014541258</v>
      </c>
    </row>
    <row r="86" spans="1:4" x14ac:dyDescent="0.3">
      <c r="A86" s="1">
        <v>44785</v>
      </c>
      <c r="B86">
        <v>136973068</v>
      </c>
      <c r="C86">
        <f t="shared" si="3"/>
        <v>7.5918145804969556E-2</v>
      </c>
      <c r="D86">
        <f t="shared" si="2"/>
        <v>1.0759181458049696</v>
      </c>
    </row>
    <row r="87" spans="1:4" x14ac:dyDescent="0.3">
      <c r="A87" s="1">
        <v>44792</v>
      </c>
      <c r="B87">
        <v>133821304</v>
      </c>
      <c r="C87">
        <f t="shared" si="3"/>
        <v>-2.3010100058502011E-2</v>
      </c>
      <c r="D87">
        <f t="shared" si="2"/>
        <v>0.97698989994149799</v>
      </c>
    </row>
    <row r="88" spans="1:4" x14ac:dyDescent="0.3">
      <c r="A88" s="1">
        <v>44799</v>
      </c>
      <c r="B88">
        <v>132452271</v>
      </c>
      <c r="C88">
        <f t="shared" si="3"/>
        <v>-1.02303068276782E-2</v>
      </c>
      <c r="D88">
        <f t="shared" si="2"/>
        <v>0.98976969317232177</v>
      </c>
    </row>
    <row r="89" spans="1:4" x14ac:dyDescent="0.3">
      <c r="A89" s="1">
        <v>44806</v>
      </c>
      <c r="B89">
        <v>134372849</v>
      </c>
      <c r="C89">
        <f t="shared" si="3"/>
        <v>1.4500151530055683E-2</v>
      </c>
      <c r="D89">
        <f t="shared" si="2"/>
        <v>1.0145001515300556</v>
      </c>
    </row>
    <row r="90" spans="1:4" x14ac:dyDescent="0.3">
      <c r="A90" s="1">
        <v>44813</v>
      </c>
      <c r="B90">
        <v>131457489</v>
      </c>
      <c r="C90">
        <f t="shared" si="3"/>
        <v>-2.1696049623834351E-2</v>
      </c>
      <c r="D90">
        <f t="shared" si="2"/>
        <v>0.97830395037616569</v>
      </c>
    </row>
    <row r="91" spans="1:4" x14ac:dyDescent="0.3">
      <c r="A91" s="1">
        <v>44820</v>
      </c>
      <c r="B91">
        <v>131378708</v>
      </c>
      <c r="C91">
        <f t="shared" si="3"/>
        <v>-5.9928879365708863E-4</v>
      </c>
      <c r="D91">
        <f t="shared" si="2"/>
        <v>0.99940071120634288</v>
      </c>
    </row>
    <row r="92" spans="1:4" x14ac:dyDescent="0.3">
      <c r="A92" s="1">
        <v>44827</v>
      </c>
      <c r="B92">
        <v>130255905</v>
      </c>
      <c r="C92">
        <f t="shared" si="3"/>
        <v>-8.546308736724675E-3</v>
      </c>
      <c r="D92">
        <f t="shared" si="2"/>
        <v>0.99145369126327532</v>
      </c>
    </row>
    <row r="93" spans="1:4" x14ac:dyDescent="0.3">
      <c r="A93" s="1">
        <v>44834</v>
      </c>
      <c r="B93">
        <v>129694489</v>
      </c>
      <c r="C93">
        <f t="shared" si="3"/>
        <v>-4.3101001831740374E-3</v>
      </c>
      <c r="D93">
        <f t="shared" si="2"/>
        <v>0.99568989981682599</v>
      </c>
    </row>
    <row r="94" spans="1:4" x14ac:dyDescent="0.3">
      <c r="A94" s="1">
        <v>44841</v>
      </c>
      <c r="B94">
        <v>130285431</v>
      </c>
      <c r="C94">
        <f t="shared" si="3"/>
        <v>4.556415654638957E-3</v>
      </c>
      <c r="D94">
        <f t="shared" si="2"/>
        <v>1.0045564156546389</v>
      </c>
    </row>
    <row r="95" spans="1:4" x14ac:dyDescent="0.3">
      <c r="A95" s="1">
        <v>44848</v>
      </c>
      <c r="B95">
        <v>132068146</v>
      </c>
      <c r="C95">
        <f t="shared" si="3"/>
        <v>1.3683149269391449E-2</v>
      </c>
      <c r="D95">
        <f t="shared" si="2"/>
        <v>1.0136831492693914</v>
      </c>
    </row>
    <row r="96" spans="1:4" x14ac:dyDescent="0.3">
      <c r="A96" s="1">
        <v>44855</v>
      </c>
      <c r="B96">
        <v>138608032</v>
      </c>
      <c r="C96">
        <f t="shared" si="3"/>
        <v>4.9519026336600498E-2</v>
      </c>
      <c r="D96">
        <f t="shared" si="2"/>
        <v>1.0495190263366005</v>
      </c>
    </row>
    <row r="97" spans="1:4" x14ac:dyDescent="0.3">
      <c r="A97" s="1">
        <v>44862</v>
      </c>
      <c r="B97">
        <v>138598175</v>
      </c>
      <c r="C97">
        <f t="shared" si="3"/>
        <v>-7.1114204983445688E-5</v>
      </c>
      <c r="D97">
        <f t="shared" si="2"/>
        <v>0.9999288857950166</v>
      </c>
    </row>
    <row r="98" spans="1:4" x14ac:dyDescent="0.3">
      <c r="A98" s="1">
        <v>44869</v>
      </c>
      <c r="B98">
        <v>140213455</v>
      </c>
      <c r="C98">
        <f t="shared" si="3"/>
        <v>1.16544103124013E-2</v>
      </c>
      <c r="D98">
        <f t="shared" si="2"/>
        <v>1.0116544103124012</v>
      </c>
    </row>
    <row r="99" spans="1:4" x14ac:dyDescent="0.3">
      <c r="A99" s="1">
        <v>44876</v>
      </c>
      <c r="B99">
        <v>145768387</v>
      </c>
      <c r="C99">
        <f t="shared" si="3"/>
        <v>3.9617681484276954E-2</v>
      </c>
      <c r="D99">
        <f t="shared" si="2"/>
        <v>1.039617681484277</v>
      </c>
    </row>
    <row r="100" spans="1:4" x14ac:dyDescent="0.3">
      <c r="A100" s="1">
        <v>44883</v>
      </c>
      <c r="B100">
        <v>150121750</v>
      </c>
      <c r="C100">
        <f t="shared" si="3"/>
        <v>2.9864932236644697E-2</v>
      </c>
      <c r="D100">
        <f t="shared" si="2"/>
        <v>1.0298649322366447</v>
      </c>
    </row>
    <row r="101" spans="1:4" x14ac:dyDescent="0.3">
      <c r="A101" s="1">
        <v>44890</v>
      </c>
      <c r="B101">
        <v>151057434</v>
      </c>
      <c r="C101">
        <f t="shared" si="3"/>
        <v>6.2328343494530269E-3</v>
      </c>
      <c r="D101">
        <f t="shared" si="2"/>
        <v>1.0062328343494531</v>
      </c>
    </row>
    <row r="102" spans="1:4" x14ac:dyDescent="0.3">
      <c r="A102" s="1">
        <v>44897</v>
      </c>
      <c r="B102">
        <v>146536652</v>
      </c>
      <c r="C102">
        <f t="shared" si="3"/>
        <v>-2.9927570463033286E-2</v>
      </c>
      <c r="D102">
        <f t="shared" si="2"/>
        <v>0.97007242953696671</v>
      </c>
    </row>
    <row r="103" spans="1:4" x14ac:dyDescent="0.3">
      <c r="A103" s="1">
        <v>44904</v>
      </c>
      <c r="B103">
        <v>143707932</v>
      </c>
      <c r="C103">
        <f t="shared" si="3"/>
        <v>-1.9303839424419222E-2</v>
      </c>
      <c r="D103">
        <f t="shared" si="2"/>
        <v>0.98069616057558073</v>
      </c>
    </row>
    <row r="104" spans="1:4" x14ac:dyDescent="0.3">
      <c r="A104" s="1">
        <v>44911</v>
      </c>
      <c r="B104">
        <v>141849289</v>
      </c>
      <c r="C104">
        <f t="shared" si="3"/>
        <v>-1.2933475376988933E-2</v>
      </c>
      <c r="D104">
        <f t="shared" si="2"/>
        <v>0.98706652462301103</v>
      </c>
    </row>
    <row r="105" spans="1:4" x14ac:dyDescent="0.3">
      <c r="A105" s="1">
        <v>44918</v>
      </c>
      <c r="B105">
        <v>140534409</v>
      </c>
      <c r="C105">
        <f t="shared" si="3"/>
        <v>-9.2695565079638862E-3</v>
      </c>
      <c r="D105">
        <f t="shared" si="2"/>
        <v>0.99073044349203609</v>
      </c>
    </row>
    <row r="106" spans="1:4" x14ac:dyDescent="0.3">
      <c r="A106" s="1">
        <v>44925</v>
      </c>
      <c r="B106">
        <v>140178497</v>
      </c>
      <c r="C106">
        <f t="shared" si="3"/>
        <v>-2.5325612604952855E-3</v>
      </c>
      <c r="D106">
        <f t="shared" si="2"/>
        <v>0.99746743873950472</v>
      </c>
    </row>
    <row r="107" spans="1:4" x14ac:dyDescent="0.3">
      <c r="A107" s="26" t="s">
        <v>5</v>
      </c>
      <c r="B107" s="26"/>
      <c r="C107" s="2">
        <f>AVERAGE(C3:C106)</f>
        <v>5.1968194840707729E-4</v>
      </c>
      <c r="D107" s="2"/>
    </row>
    <row r="108" spans="1:4" x14ac:dyDescent="0.3">
      <c r="A108" s="26" t="s">
        <v>6</v>
      </c>
      <c r="B108" s="26"/>
      <c r="C108" s="2"/>
      <c r="D108" s="2">
        <f>GEOMEAN(D3:D106)-1</f>
        <v>-2.2376379384736467E-5</v>
      </c>
    </row>
    <row r="109" spans="1:4" x14ac:dyDescent="0.3">
      <c r="A109" s="26" t="s">
        <v>7</v>
      </c>
      <c r="B109" s="26"/>
      <c r="C109" s="2">
        <f>_xlfn.STDEV.S(C3:C106)</f>
        <v>3.2298016807422517E-2</v>
      </c>
      <c r="D109" s="2"/>
    </row>
    <row r="110" spans="1:4" x14ac:dyDescent="0.3">
      <c r="A110" s="26" t="s">
        <v>8</v>
      </c>
      <c r="B110" s="26"/>
      <c r="C110" s="2">
        <f>_xlfn.VAR.S(C3:C106)</f>
        <v>1.0431618896925472E-3</v>
      </c>
      <c r="D110" s="2"/>
    </row>
  </sheetData>
  <mergeCells count="4">
    <mergeCell ref="A107:B107"/>
    <mergeCell ref="A108:B108"/>
    <mergeCell ref="A109:B109"/>
    <mergeCell ref="A110:B110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D21E-0B8B-4F36-8F0B-6634CEB4D605}">
  <dimension ref="A1:D110"/>
  <sheetViews>
    <sheetView topLeftCell="A85" workbookViewId="0">
      <selection activeCell="C107" sqref="C107"/>
    </sheetView>
  </sheetViews>
  <sheetFormatPr defaultRowHeight="14.4" x14ac:dyDescent="0.3"/>
  <cols>
    <col min="1" max="1" width="10.5546875" bestFit="1" customWidth="1"/>
    <col min="2" max="2" width="11" bestFit="1" customWidth="1"/>
    <col min="3" max="3" width="14" customWidth="1"/>
    <col min="4" max="4" width="15.109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 s="1">
        <v>44197</v>
      </c>
      <c r="B2">
        <v>39754604</v>
      </c>
    </row>
    <row r="3" spans="1:4" x14ac:dyDescent="0.3">
      <c r="A3" s="1">
        <v>44204</v>
      </c>
      <c r="B3">
        <v>44485188</v>
      </c>
      <c r="C3">
        <f>(B3-B2)/B2</f>
        <v>0.1189946200948197</v>
      </c>
      <c r="D3">
        <f t="shared" ref="D3:D66" si="0">C3+1</f>
        <v>1.1189946200948198</v>
      </c>
    </row>
    <row r="4" spans="1:4" x14ac:dyDescent="0.3">
      <c r="A4" s="1">
        <v>44211</v>
      </c>
      <c r="B4">
        <v>42539906</v>
      </c>
      <c r="C4">
        <f t="shared" ref="C4:C67" si="1">(B4-B3)/B3</f>
        <v>-4.3728757536103925E-2</v>
      </c>
      <c r="D4">
        <f t="shared" si="0"/>
        <v>0.95627124246389605</v>
      </c>
    </row>
    <row r="5" spans="1:4" x14ac:dyDescent="0.3">
      <c r="A5" s="1">
        <v>44218</v>
      </c>
      <c r="B5">
        <v>40727249</v>
      </c>
      <c r="C5">
        <f t="shared" si="1"/>
        <v>-4.2610742957448003E-2</v>
      </c>
      <c r="D5">
        <f t="shared" si="0"/>
        <v>0.95738925704255196</v>
      </c>
    </row>
    <row r="6" spans="1:4" x14ac:dyDescent="0.3">
      <c r="A6" s="1">
        <v>44225</v>
      </c>
      <c r="B6">
        <v>42734440</v>
      </c>
      <c r="C6">
        <f t="shared" si="1"/>
        <v>4.9283736301462447E-2</v>
      </c>
      <c r="D6">
        <f t="shared" si="0"/>
        <v>1.0492837363014624</v>
      </c>
    </row>
    <row r="7" spans="1:4" x14ac:dyDescent="0.3">
      <c r="A7" s="1">
        <v>44232</v>
      </c>
      <c r="B7">
        <v>44069607</v>
      </c>
      <c r="C7">
        <f t="shared" si="1"/>
        <v>3.1243348456186627E-2</v>
      </c>
      <c r="D7">
        <f t="shared" si="0"/>
        <v>1.0312433484561867</v>
      </c>
    </row>
    <row r="8" spans="1:4" x14ac:dyDescent="0.3">
      <c r="A8" s="1">
        <v>44239</v>
      </c>
      <c r="B8">
        <v>46778347</v>
      </c>
      <c r="C8">
        <f t="shared" si="1"/>
        <v>6.1465036436562731E-2</v>
      </c>
      <c r="D8">
        <f t="shared" si="0"/>
        <v>1.0614650364365628</v>
      </c>
    </row>
    <row r="9" spans="1:4" x14ac:dyDescent="0.3">
      <c r="A9" s="1">
        <v>44246</v>
      </c>
      <c r="B9">
        <v>50141499</v>
      </c>
      <c r="C9">
        <f t="shared" si="1"/>
        <v>7.1895486174404583E-2</v>
      </c>
      <c r="D9">
        <f t="shared" si="0"/>
        <v>1.0718954861744046</v>
      </c>
    </row>
    <row r="10" spans="1:4" x14ac:dyDescent="0.3">
      <c r="A10" s="1">
        <v>44253</v>
      </c>
      <c r="B10">
        <v>52794250</v>
      </c>
      <c r="C10">
        <f t="shared" si="1"/>
        <v>5.2905299061761196E-2</v>
      </c>
      <c r="D10">
        <f t="shared" si="0"/>
        <v>1.0529052990617611</v>
      </c>
    </row>
    <row r="11" spans="1:4" x14ac:dyDescent="0.3">
      <c r="A11" s="1">
        <v>44260</v>
      </c>
      <c r="B11">
        <v>55132271</v>
      </c>
      <c r="C11">
        <f t="shared" si="1"/>
        <v>4.4285523518186168E-2</v>
      </c>
      <c r="D11">
        <f t="shared" si="0"/>
        <v>1.0442855235181863</v>
      </c>
    </row>
    <row r="12" spans="1:4" x14ac:dyDescent="0.3">
      <c r="A12" s="1">
        <v>44267</v>
      </c>
      <c r="B12">
        <v>51085697</v>
      </c>
      <c r="C12">
        <f t="shared" si="1"/>
        <v>-7.3397556940834163E-2</v>
      </c>
      <c r="D12">
        <f t="shared" si="0"/>
        <v>0.92660244305916584</v>
      </c>
    </row>
    <row r="13" spans="1:4" x14ac:dyDescent="0.3">
      <c r="A13" s="1">
        <v>44274</v>
      </c>
      <c r="B13">
        <v>50519176</v>
      </c>
      <c r="C13">
        <f t="shared" si="1"/>
        <v>-1.1089620642740765E-2</v>
      </c>
      <c r="D13">
        <f t="shared" si="0"/>
        <v>0.98891037935725923</v>
      </c>
    </row>
    <row r="14" spans="1:4" x14ac:dyDescent="0.3">
      <c r="A14" s="1">
        <v>44281</v>
      </c>
      <c r="B14">
        <v>51607246</v>
      </c>
      <c r="C14">
        <f t="shared" si="1"/>
        <v>2.153776221528237E-2</v>
      </c>
      <c r="D14">
        <f t="shared" si="0"/>
        <v>1.0215377622152824</v>
      </c>
    </row>
    <row r="15" spans="1:4" x14ac:dyDescent="0.3">
      <c r="A15" s="1">
        <v>44288</v>
      </c>
      <c r="B15">
        <v>50357319</v>
      </c>
      <c r="C15">
        <f t="shared" si="1"/>
        <v>-2.4219990347867041E-2</v>
      </c>
      <c r="D15">
        <f t="shared" si="0"/>
        <v>0.97578000965213296</v>
      </c>
    </row>
    <row r="16" spans="1:4" x14ac:dyDescent="0.3">
      <c r="A16" s="1">
        <v>44295</v>
      </c>
      <c r="B16">
        <v>51238567</v>
      </c>
      <c r="C16">
        <f t="shared" si="1"/>
        <v>1.749989907127502E-2</v>
      </c>
      <c r="D16">
        <f t="shared" si="0"/>
        <v>1.0174998990712749</v>
      </c>
    </row>
    <row r="17" spans="1:4" x14ac:dyDescent="0.3">
      <c r="A17" s="1">
        <v>44302</v>
      </c>
      <c r="B17">
        <v>49700871</v>
      </c>
      <c r="C17">
        <f t="shared" si="1"/>
        <v>-3.0010519224708217E-2</v>
      </c>
      <c r="D17">
        <f t="shared" si="0"/>
        <v>0.96998948077529179</v>
      </c>
    </row>
    <row r="18" spans="1:4" x14ac:dyDescent="0.3">
      <c r="A18" s="1">
        <v>44309</v>
      </c>
      <c r="B18">
        <v>53001072</v>
      </c>
      <c r="C18">
        <f t="shared" si="1"/>
        <v>6.6401270915352778E-2</v>
      </c>
      <c r="D18">
        <f t="shared" si="0"/>
        <v>1.0664012709153528</v>
      </c>
    </row>
    <row r="19" spans="1:4" x14ac:dyDescent="0.3">
      <c r="A19" s="1">
        <v>44316</v>
      </c>
      <c r="B19">
        <v>55348083</v>
      </c>
      <c r="C19">
        <f t="shared" si="1"/>
        <v>4.4282330742291404E-2</v>
      </c>
      <c r="D19">
        <f t="shared" si="0"/>
        <v>1.0442823307422915</v>
      </c>
    </row>
    <row r="20" spans="1:4" x14ac:dyDescent="0.3">
      <c r="A20" s="1">
        <v>44323</v>
      </c>
      <c r="B20">
        <v>53324799</v>
      </c>
      <c r="C20">
        <f t="shared" si="1"/>
        <v>-3.6555629216643327E-2</v>
      </c>
      <c r="D20">
        <f t="shared" si="0"/>
        <v>0.96344437078335665</v>
      </c>
    </row>
    <row r="21" spans="1:4" x14ac:dyDescent="0.3">
      <c r="A21" s="1">
        <v>44330</v>
      </c>
      <c r="B21">
        <v>53681961</v>
      </c>
      <c r="C21">
        <f t="shared" si="1"/>
        <v>6.6978592830701528E-3</v>
      </c>
      <c r="D21">
        <f t="shared" si="0"/>
        <v>1.0066978592830702</v>
      </c>
    </row>
    <row r="22" spans="1:4" x14ac:dyDescent="0.3">
      <c r="A22" s="1">
        <v>44337</v>
      </c>
      <c r="B22">
        <v>53426506</v>
      </c>
      <c r="C22">
        <f t="shared" si="1"/>
        <v>-4.7586748926701844E-3</v>
      </c>
      <c r="D22">
        <f t="shared" si="0"/>
        <v>0.99524132510732977</v>
      </c>
    </row>
    <row r="23" spans="1:4" x14ac:dyDescent="0.3">
      <c r="A23" s="1">
        <v>44344</v>
      </c>
      <c r="B23">
        <v>55816833</v>
      </c>
      <c r="C23">
        <f t="shared" si="1"/>
        <v>4.4740470207802849E-2</v>
      </c>
      <c r="D23">
        <f t="shared" si="0"/>
        <v>1.0447404702078029</v>
      </c>
    </row>
    <row r="24" spans="1:4" x14ac:dyDescent="0.3">
      <c r="A24" s="1">
        <v>44351</v>
      </c>
      <c r="B24">
        <v>57249195</v>
      </c>
      <c r="C24">
        <f t="shared" si="1"/>
        <v>2.5661828574186571E-2</v>
      </c>
      <c r="D24">
        <f t="shared" si="0"/>
        <v>1.0256618285741865</v>
      </c>
    </row>
    <row r="25" spans="1:4" x14ac:dyDescent="0.3">
      <c r="A25" s="1">
        <v>44358</v>
      </c>
      <c r="B25">
        <v>56555820</v>
      </c>
      <c r="C25">
        <f t="shared" si="1"/>
        <v>-1.2111524013569099E-2</v>
      </c>
      <c r="D25">
        <f t="shared" si="0"/>
        <v>0.98788847598643093</v>
      </c>
    </row>
    <row r="26" spans="1:4" x14ac:dyDescent="0.3">
      <c r="A26" s="1">
        <v>44365</v>
      </c>
      <c r="B26">
        <v>58864033</v>
      </c>
      <c r="C26">
        <f t="shared" si="1"/>
        <v>4.0813005628775254E-2</v>
      </c>
      <c r="D26">
        <f t="shared" si="0"/>
        <v>1.0408130056287752</v>
      </c>
    </row>
    <row r="27" spans="1:4" x14ac:dyDescent="0.3">
      <c r="A27" s="1">
        <v>44372</v>
      </c>
      <c r="B27">
        <v>57714493</v>
      </c>
      <c r="C27">
        <f t="shared" si="1"/>
        <v>-1.9528733275886823E-2</v>
      </c>
      <c r="D27">
        <f t="shared" si="0"/>
        <v>0.98047126672411322</v>
      </c>
    </row>
    <row r="28" spans="1:4" x14ac:dyDescent="0.3">
      <c r="A28" s="1">
        <v>44379</v>
      </c>
      <c r="B28">
        <v>54867996</v>
      </c>
      <c r="C28">
        <f t="shared" si="1"/>
        <v>-4.9320315436193814E-2</v>
      </c>
      <c r="D28">
        <f t="shared" si="0"/>
        <v>0.95067968456380614</v>
      </c>
    </row>
    <row r="29" spans="1:4" x14ac:dyDescent="0.3">
      <c r="A29" s="1">
        <v>44386</v>
      </c>
      <c r="B29">
        <v>53782318</v>
      </c>
      <c r="C29">
        <f t="shared" si="1"/>
        <v>-1.9787090456155898E-2</v>
      </c>
      <c r="D29">
        <f t="shared" si="0"/>
        <v>0.9802129095438441</v>
      </c>
    </row>
    <row r="30" spans="1:4" x14ac:dyDescent="0.3">
      <c r="A30" s="1">
        <v>44393</v>
      </c>
      <c r="B30">
        <v>52103611</v>
      </c>
      <c r="C30">
        <f t="shared" si="1"/>
        <v>-3.1212990856957858E-2</v>
      </c>
      <c r="D30">
        <f t="shared" si="0"/>
        <v>0.96878700914304217</v>
      </c>
    </row>
    <row r="31" spans="1:4" x14ac:dyDescent="0.3">
      <c r="A31" s="1">
        <v>44400</v>
      </c>
      <c r="B31">
        <v>53764076</v>
      </c>
      <c r="C31">
        <f t="shared" si="1"/>
        <v>3.1868520590636225E-2</v>
      </c>
      <c r="D31">
        <f t="shared" si="0"/>
        <v>1.0318685205906362</v>
      </c>
    </row>
    <row r="32" spans="1:4" x14ac:dyDescent="0.3">
      <c r="A32" s="1">
        <v>44407</v>
      </c>
      <c r="B32">
        <v>52185719</v>
      </c>
      <c r="C32">
        <f t="shared" si="1"/>
        <v>-2.9357093387041563E-2</v>
      </c>
      <c r="D32">
        <f t="shared" si="0"/>
        <v>0.97064290661295849</v>
      </c>
    </row>
    <row r="33" spans="1:4" x14ac:dyDescent="0.3">
      <c r="A33" s="1">
        <v>44414</v>
      </c>
      <c r="B33">
        <v>52322575</v>
      </c>
      <c r="C33">
        <f t="shared" si="1"/>
        <v>2.622479916392452E-3</v>
      </c>
      <c r="D33">
        <f t="shared" si="0"/>
        <v>1.0026224799163925</v>
      </c>
    </row>
    <row r="34" spans="1:4" x14ac:dyDescent="0.3">
      <c r="A34" s="1">
        <v>44421</v>
      </c>
      <c r="B34">
        <v>48835716</v>
      </c>
      <c r="C34">
        <f t="shared" si="1"/>
        <v>-6.6641578706705465E-2</v>
      </c>
      <c r="D34">
        <f t="shared" si="0"/>
        <v>0.93335842129329449</v>
      </c>
    </row>
    <row r="35" spans="1:4" x14ac:dyDescent="0.3">
      <c r="A35" s="1">
        <v>44428</v>
      </c>
      <c r="B35">
        <v>50669487</v>
      </c>
      <c r="C35">
        <f t="shared" si="1"/>
        <v>3.7549792451082316E-2</v>
      </c>
      <c r="D35">
        <f t="shared" si="0"/>
        <v>1.0375497924510824</v>
      </c>
    </row>
    <row r="36" spans="1:4" x14ac:dyDescent="0.3">
      <c r="A36" s="1">
        <v>44435</v>
      </c>
      <c r="B36">
        <v>51012161</v>
      </c>
      <c r="C36">
        <f t="shared" si="1"/>
        <v>6.7629261768527476E-3</v>
      </c>
      <c r="D36">
        <f t="shared" si="0"/>
        <v>1.0067629261768527</v>
      </c>
    </row>
    <row r="37" spans="1:4" x14ac:dyDescent="0.3">
      <c r="A37" s="1">
        <v>44442</v>
      </c>
      <c r="B37">
        <v>50095280</v>
      </c>
      <c r="C37">
        <f t="shared" si="1"/>
        <v>-1.7973772959745813E-2</v>
      </c>
      <c r="D37">
        <f t="shared" si="0"/>
        <v>0.98202622704025422</v>
      </c>
    </row>
    <row r="38" spans="1:4" x14ac:dyDescent="0.3">
      <c r="A38" s="1">
        <v>44449</v>
      </c>
      <c r="B38">
        <v>51697510</v>
      </c>
      <c r="C38">
        <f t="shared" si="1"/>
        <v>3.1983651952838671E-2</v>
      </c>
      <c r="D38">
        <f t="shared" si="0"/>
        <v>1.0319836519528387</v>
      </c>
    </row>
    <row r="39" spans="1:4" x14ac:dyDescent="0.3">
      <c r="A39" s="1">
        <v>44456</v>
      </c>
      <c r="B39">
        <v>52864456</v>
      </c>
      <c r="C39">
        <f t="shared" si="1"/>
        <v>2.2572576512872672E-2</v>
      </c>
      <c r="D39">
        <f t="shared" si="0"/>
        <v>1.0225725765128726</v>
      </c>
    </row>
    <row r="40" spans="1:4" x14ac:dyDescent="0.3">
      <c r="A40" s="1">
        <v>44463</v>
      </c>
      <c r="B40">
        <v>54475948</v>
      </c>
      <c r="C40">
        <f t="shared" si="1"/>
        <v>3.0483468892595813E-2</v>
      </c>
      <c r="D40">
        <f t="shared" si="0"/>
        <v>1.0304834688925959</v>
      </c>
    </row>
    <row r="41" spans="1:4" x14ac:dyDescent="0.3">
      <c r="A41" s="1">
        <v>44470</v>
      </c>
      <c r="B41">
        <v>56180065</v>
      </c>
      <c r="C41">
        <f t="shared" si="1"/>
        <v>3.1282007244738542E-2</v>
      </c>
      <c r="D41">
        <f t="shared" si="0"/>
        <v>1.0312820072447386</v>
      </c>
    </row>
    <row r="42" spans="1:4" x14ac:dyDescent="0.3">
      <c r="A42" s="1">
        <v>44477</v>
      </c>
      <c r="B42">
        <v>57421097</v>
      </c>
      <c r="C42">
        <f t="shared" si="1"/>
        <v>2.2090255680551455E-2</v>
      </c>
      <c r="D42">
        <f t="shared" si="0"/>
        <v>1.0220902556805516</v>
      </c>
    </row>
    <row r="43" spans="1:4" x14ac:dyDescent="0.3">
      <c r="A43" s="1">
        <v>44484</v>
      </c>
      <c r="B43">
        <v>58060139</v>
      </c>
      <c r="C43">
        <f t="shared" si="1"/>
        <v>1.1129045479573475E-2</v>
      </c>
      <c r="D43">
        <f t="shared" si="0"/>
        <v>1.0111290454795734</v>
      </c>
    </row>
    <row r="44" spans="1:4" x14ac:dyDescent="0.3">
      <c r="A44" s="1">
        <v>44491</v>
      </c>
      <c r="B44">
        <v>59560490</v>
      </c>
      <c r="C44">
        <f t="shared" si="1"/>
        <v>2.5841326353007871E-2</v>
      </c>
      <c r="D44">
        <f t="shared" si="0"/>
        <v>1.025841326353008</v>
      </c>
    </row>
    <row r="45" spans="1:4" x14ac:dyDescent="0.3">
      <c r="A45" s="1">
        <v>44498</v>
      </c>
      <c r="B45">
        <v>59653118</v>
      </c>
      <c r="C45">
        <f t="shared" si="1"/>
        <v>1.5551920408982533E-3</v>
      </c>
      <c r="D45">
        <f t="shared" si="0"/>
        <v>1.0015551920408983</v>
      </c>
    </row>
    <row r="46" spans="1:4" x14ac:dyDescent="0.3">
      <c r="A46" s="1">
        <v>44505</v>
      </c>
      <c r="B46">
        <v>59560490</v>
      </c>
      <c r="C46">
        <f t="shared" si="1"/>
        <v>-1.5527771741956557E-3</v>
      </c>
      <c r="D46">
        <f t="shared" si="0"/>
        <v>0.99844722282580434</v>
      </c>
    </row>
    <row r="47" spans="1:4" x14ac:dyDescent="0.3">
      <c r="A47" s="1">
        <v>44512</v>
      </c>
      <c r="B47">
        <v>59703930</v>
      </c>
      <c r="C47">
        <f t="shared" si="1"/>
        <v>2.4083079235916291E-3</v>
      </c>
      <c r="D47">
        <f t="shared" si="0"/>
        <v>1.0024083079235917</v>
      </c>
    </row>
    <row r="48" spans="1:4" x14ac:dyDescent="0.3">
      <c r="A48" s="1">
        <v>44519</v>
      </c>
      <c r="B48">
        <v>59581909</v>
      </c>
      <c r="C48">
        <f t="shared" si="1"/>
        <v>-2.0437683080494033E-3</v>
      </c>
      <c r="D48">
        <f t="shared" si="0"/>
        <v>0.99795623169195058</v>
      </c>
    </row>
    <row r="49" spans="1:4" x14ac:dyDescent="0.3">
      <c r="A49" s="1">
        <v>44526</v>
      </c>
      <c r="B49">
        <v>57517002</v>
      </c>
      <c r="C49">
        <f t="shared" si="1"/>
        <v>-3.4656610280815271E-2</v>
      </c>
      <c r="D49">
        <f t="shared" si="0"/>
        <v>0.96534338971918476</v>
      </c>
    </row>
    <row r="50" spans="1:4" x14ac:dyDescent="0.3">
      <c r="A50" s="1">
        <v>44533</v>
      </c>
      <c r="B50">
        <v>58765335</v>
      </c>
      <c r="C50">
        <f t="shared" si="1"/>
        <v>2.170372162304287E-2</v>
      </c>
      <c r="D50">
        <f t="shared" si="0"/>
        <v>1.0217037216230429</v>
      </c>
    </row>
    <row r="51" spans="1:4" x14ac:dyDescent="0.3">
      <c r="A51" s="1">
        <v>44540</v>
      </c>
      <c r="B51">
        <v>57601479</v>
      </c>
      <c r="C51">
        <f t="shared" si="1"/>
        <v>-1.9805145329300004E-2</v>
      </c>
      <c r="D51">
        <f t="shared" si="0"/>
        <v>0.9801948546707</v>
      </c>
    </row>
    <row r="52" spans="1:4" x14ac:dyDescent="0.3">
      <c r="A52" s="1">
        <v>44547</v>
      </c>
      <c r="B52">
        <v>57272976</v>
      </c>
      <c r="C52">
        <f t="shared" si="1"/>
        <v>-5.70303064614018E-3</v>
      </c>
      <c r="D52">
        <f t="shared" si="0"/>
        <v>0.99429696935385981</v>
      </c>
    </row>
    <row r="53" spans="1:4" x14ac:dyDescent="0.3">
      <c r="A53" s="1">
        <v>44554</v>
      </c>
      <c r="B53">
        <v>57057098</v>
      </c>
      <c r="C53">
        <f t="shared" si="1"/>
        <v>-3.7692820432449676E-3</v>
      </c>
      <c r="D53">
        <f t="shared" si="0"/>
        <v>0.996230717956755</v>
      </c>
    </row>
    <row r="54" spans="1:4" x14ac:dyDescent="0.3">
      <c r="A54" s="1">
        <v>44561</v>
      </c>
      <c r="B54">
        <v>64124695</v>
      </c>
      <c r="C54">
        <f t="shared" si="1"/>
        <v>0.12386884800905927</v>
      </c>
      <c r="D54">
        <f t="shared" si="0"/>
        <v>1.1238688480090593</v>
      </c>
    </row>
    <row r="55" spans="1:4" x14ac:dyDescent="0.3">
      <c r="A55" s="1">
        <v>44568</v>
      </c>
      <c r="B55">
        <v>66292847</v>
      </c>
      <c r="C55">
        <f t="shared" si="1"/>
        <v>3.3811498050789951E-2</v>
      </c>
      <c r="D55">
        <f t="shared" si="0"/>
        <v>1.03381149805079</v>
      </c>
    </row>
    <row r="56" spans="1:4" x14ac:dyDescent="0.3">
      <c r="A56" s="1">
        <v>44575</v>
      </c>
      <c r="B56">
        <v>68770744</v>
      </c>
      <c r="C56">
        <f t="shared" si="1"/>
        <v>3.7378044723286659E-2</v>
      </c>
      <c r="D56">
        <f t="shared" si="0"/>
        <v>1.0373780447232868</v>
      </c>
    </row>
    <row r="57" spans="1:4" x14ac:dyDescent="0.3">
      <c r="A57" s="1">
        <v>44582</v>
      </c>
      <c r="B57">
        <v>70507149</v>
      </c>
      <c r="C57">
        <f t="shared" si="1"/>
        <v>2.5249181541499681E-2</v>
      </c>
      <c r="D57">
        <f t="shared" si="0"/>
        <v>1.0252491815414997</v>
      </c>
    </row>
    <row r="58" spans="1:4" x14ac:dyDescent="0.3">
      <c r="A58" s="1">
        <v>44589</v>
      </c>
      <c r="B58">
        <v>74787132</v>
      </c>
      <c r="C58">
        <f t="shared" si="1"/>
        <v>6.070282319882201E-2</v>
      </c>
      <c r="D58">
        <f t="shared" si="0"/>
        <v>1.060702823198822</v>
      </c>
    </row>
    <row r="59" spans="1:4" x14ac:dyDescent="0.3">
      <c r="A59" s="1">
        <v>44596</v>
      </c>
      <c r="B59">
        <v>73435555</v>
      </c>
      <c r="C59">
        <f t="shared" si="1"/>
        <v>-1.8072320248889877E-2</v>
      </c>
      <c r="D59">
        <f t="shared" si="0"/>
        <v>0.98192767975111017</v>
      </c>
    </row>
    <row r="60" spans="1:4" x14ac:dyDescent="0.3">
      <c r="A60" s="1">
        <v>44603</v>
      </c>
      <c r="B60">
        <v>74240173</v>
      </c>
      <c r="C60">
        <f t="shared" si="1"/>
        <v>1.095679061729703E-2</v>
      </c>
      <c r="D60">
        <f t="shared" si="0"/>
        <v>1.0109567906172969</v>
      </c>
    </row>
    <row r="61" spans="1:4" x14ac:dyDescent="0.3">
      <c r="A61" s="1">
        <v>44610</v>
      </c>
      <c r="B61">
        <v>71934090</v>
      </c>
      <c r="C61">
        <f t="shared" si="1"/>
        <v>-3.1062468025229412E-2</v>
      </c>
      <c r="D61">
        <f t="shared" si="0"/>
        <v>0.96893753197477062</v>
      </c>
    </row>
    <row r="62" spans="1:4" x14ac:dyDescent="0.3">
      <c r="A62" s="1">
        <v>44617</v>
      </c>
      <c r="B62">
        <v>76906853</v>
      </c>
      <c r="C62">
        <f t="shared" si="1"/>
        <v>6.9129435014747526E-2</v>
      </c>
      <c r="D62">
        <f t="shared" si="0"/>
        <v>1.0691294350147476</v>
      </c>
    </row>
    <row r="63" spans="1:4" x14ac:dyDescent="0.3">
      <c r="A63" s="1">
        <v>44624</v>
      </c>
      <c r="B63">
        <v>81006516</v>
      </c>
      <c r="C63">
        <f t="shared" si="1"/>
        <v>5.3306862003572035E-2</v>
      </c>
      <c r="D63">
        <f t="shared" si="0"/>
        <v>1.0533068620035719</v>
      </c>
    </row>
    <row r="64" spans="1:4" x14ac:dyDescent="0.3">
      <c r="A64" s="1">
        <v>44631</v>
      </c>
      <c r="B64">
        <v>74951920</v>
      </c>
      <c r="C64">
        <f t="shared" si="1"/>
        <v>-7.4742086179832745E-2</v>
      </c>
      <c r="D64">
        <f t="shared" si="0"/>
        <v>0.92525791382016731</v>
      </c>
    </row>
    <row r="65" spans="1:4" x14ac:dyDescent="0.3">
      <c r="A65" s="1">
        <v>44638</v>
      </c>
      <c r="B65">
        <v>79127510</v>
      </c>
      <c r="C65">
        <f t="shared" si="1"/>
        <v>5.5710247315879299E-2</v>
      </c>
      <c r="D65">
        <f t="shared" si="0"/>
        <v>1.0557102473158793</v>
      </c>
    </row>
    <row r="66" spans="1:4" x14ac:dyDescent="0.3">
      <c r="A66" s="1">
        <v>44645</v>
      </c>
      <c r="B66">
        <v>78377800</v>
      </c>
      <c r="C66">
        <f t="shared" si="1"/>
        <v>-9.4747073426169996E-3</v>
      </c>
      <c r="D66">
        <f t="shared" si="0"/>
        <v>0.99052529265738298</v>
      </c>
    </row>
    <row r="67" spans="1:4" x14ac:dyDescent="0.3">
      <c r="A67" s="1">
        <v>44652</v>
      </c>
      <c r="B67">
        <v>80712334</v>
      </c>
      <c r="C67">
        <f t="shared" si="1"/>
        <v>2.9785653590685118E-2</v>
      </c>
      <c r="D67">
        <f t="shared" ref="D67:D106" si="2">C67+1</f>
        <v>1.0297856535906851</v>
      </c>
    </row>
    <row r="68" spans="1:4" x14ac:dyDescent="0.3">
      <c r="A68" s="1">
        <v>44659</v>
      </c>
      <c r="B68">
        <v>83350555</v>
      </c>
      <c r="C68">
        <f t="shared" ref="C68:C106" si="3">(B68-B67)/B67</f>
        <v>3.2686714275912278E-2</v>
      </c>
      <c r="D68">
        <f t="shared" si="2"/>
        <v>1.0326867142759122</v>
      </c>
    </row>
    <row r="69" spans="1:4" x14ac:dyDescent="0.3">
      <c r="A69" s="1">
        <v>44666</v>
      </c>
      <c r="B69">
        <v>82591354</v>
      </c>
      <c r="C69">
        <f t="shared" si="3"/>
        <v>-9.1085296312664026E-3</v>
      </c>
      <c r="D69">
        <f t="shared" si="2"/>
        <v>0.9908914703687336</v>
      </c>
    </row>
    <row r="70" spans="1:4" x14ac:dyDescent="0.3">
      <c r="A70" s="1">
        <v>44673</v>
      </c>
      <c r="B70">
        <v>82752678</v>
      </c>
      <c r="C70">
        <f t="shared" si="3"/>
        <v>1.9532795164007117E-3</v>
      </c>
      <c r="D70">
        <f t="shared" si="2"/>
        <v>1.0019532795164008</v>
      </c>
    </row>
    <row r="71" spans="1:4" x14ac:dyDescent="0.3">
      <c r="A71" s="1">
        <v>44680</v>
      </c>
      <c r="B71">
        <v>85704056</v>
      </c>
      <c r="C71">
        <f t="shared" si="3"/>
        <v>3.5665045184398746E-2</v>
      </c>
      <c r="D71">
        <f t="shared" si="2"/>
        <v>1.0356650451843987</v>
      </c>
    </row>
    <row r="72" spans="1:4" x14ac:dyDescent="0.3">
      <c r="A72" s="1">
        <v>44687</v>
      </c>
      <c r="B72">
        <v>81898582</v>
      </c>
      <c r="C72">
        <f t="shared" si="3"/>
        <v>-4.4402495956550762E-2</v>
      </c>
      <c r="D72">
        <f t="shared" si="2"/>
        <v>0.95559750404344923</v>
      </c>
    </row>
    <row r="73" spans="1:4" x14ac:dyDescent="0.3">
      <c r="A73" s="1">
        <v>44694</v>
      </c>
      <c r="B73">
        <v>87377693</v>
      </c>
      <c r="C73">
        <f t="shared" si="3"/>
        <v>6.6901170523318704E-2</v>
      </c>
      <c r="D73">
        <f t="shared" si="2"/>
        <v>1.0669011705233187</v>
      </c>
    </row>
    <row r="74" spans="1:4" x14ac:dyDescent="0.3">
      <c r="A74" s="1">
        <v>44701</v>
      </c>
      <c r="B74">
        <v>92650658</v>
      </c>
      <c r="C74">
        <f t="shared" si="3"/>
        <v>6.0346809568432989E-2</v>
      </c>
      <c r="D74">
        <f t="shared" si="2"/>
        <v>1.060346809568433</v>
      </c>
    </row>
    <row r="75" spans="1:4" x14ac:dyDescent="0.3">
      <c r="A75" s="1">
        <v>44708</v>
      </c>
      <c r="B75">
        <v>93638130</v>
      </c>
      <c r="C75">
        <f t="shared" si="3"/>
        <v>1.065801389127749E-2</v>
      </c>
      <c r="D75">
        <f t="shared" si="2"/>
        <v>1.0106580138912775</v>
      </c>
    </row>
    <row r="76" spans="1:4" x14ac:dyDescent="0.3">
      <c r="A76" s="1">
        <v>44715</v>
      </c>
      <c r="B76">
        <v>98105766</v>
      </c>
      <c r="C76">
        <f t="shared" si="3"/>
        <v>4.7711717438184635E-2</v>
      </c>
      <c r="D76">
        <f t="shared" si="2"/>
        <v>1.0477117174381847</v>
      </c>
    </row>
    <row r="77" spans="1:4" x14ac:dyDescent="0.3">
      <c r="A77" s="1">
        <v>44722</v>
      </c>
      <c r="B77">
        <v>87617378</v>
      </c>
      <c r="C77">
        <f t="shared" si="3"/>
        <v>-0.10690898636885421</v>
      </c>
      <c r="D77">
        <f t="shared" si="2"/>
        <v>0.89309101363114585</v>
      </c>
    </row>
    <row r="78" spans="1:4" x14ac:dyDescent="0.3">
      <c r="A78" s="1">
        <v>44729</v>
      </c>
      <c r="B78">
        <v>81692482</v>
      </c>
      <c r="C78">
        <f t="shared" si="3"/>
        <v>-6.7622384226106377E-2</v>
      </c>
      <c r="D78">
        <f t="shared" si="2"/>
        <v>0.93237761577389366</v>
      </c>
    </row>
    <row r="79" spans="1:4" x14ac:dyDescent="0.3">
      <c r="A79" s="1">
        <v>44736</v>
      </c>
      <c r="B79">
        <v>82104729</v>
      </c>
      <c r="C79">
        <f t="shared" si="3"/>
        <v>5.0463272740323886E-3</v>
      </c>
      <c r="D79">
        <f t="shared" si="2"/>
        <v>1.0050463272740324</v>
      </c>
    </row>
    <row r="80" spans="1:4" x14ac:dyDescent="0.3">
      <c r="A80" s="1">
        <v>44743</v>
      </c>
      <c r="B80">
        <v>82392349</v>
      </c>
      <c r="C80">
        <f t="shared" si="3"/>
        <v>3.5030868928390226E-3</v>
      </c>
      <c r="D80">
        <f t="shared" si="2"/>
        <v>1.003503086892839</v>
      </c>
    </row>
    <row r="81" spans="1:4" x14ac:dyDescent="0.3">
      <c r="A81" s="1">
        <v>44750</v>
      </c>
      <c r="B81">
        <v>79707932</v>
      </c>
      <c r="C81">
        <f t="shared" si="3"/>
        <v>-3.2580901413552368E-2</v>
      </c>
      <c r="D81">
        <f t="shared" si="2"/>
        <v>0.96741909858644759</v>
      </c>
    </row>
    <row r="82" spans="1:4" x14ac:dyDescent="0.3">
      <c r="A82" s="1">
        <v>44757</v>
      </c>
      <c r="B82">
        <v>84127640</v>
      </c>
      <c r="C82">
        <f t="shared" si="3"/>
        <v>5.5448785197438066E-2</v>
      </c>
      <c r="D82">
        <f t="shared" si="2"/>
        <v>1.0554487851974381</v>
      </c>
    </row>
    <row r="83" spans="1:4" x14ac:dyDescent="0.3">
      <c r="A83" s="1">
        <v>44764</v>
      </c>
      <c r="B83">
        <v>88815773</v>
      </c>
      <c r="C83">
        <f t="shared" si="3"/>
        <v>5.5726429506402414E-2</v>
      </c>
      <c r="D83">
        <f t="shared" si="2"/>
        <v>1.0557264295064024</v>
      </c>
    </row>
    <row r="84" spans="1:4" x14ac:dyDescent="0.3">
      <c r="A84" s="1">
        <v>44771</v>
      </c>
      <c r="B84">
        <v>83590744</v>
      </c>
      <c r="C84">
        <f t="shared" si="3"/>
        <v>-5.8829967060017592E-2</v>
      </c>
      <c r="D84">
        <f t="shared" si="2"/>
        <v>0.94117003293998236</v>
      </c>
    </row>
    <row r="85" spans="1:4" x14ac:dyDescent="0.3">
      <c r="A85" s="1">
        <v>44778</v>
      </c>
      <c r="B85">
        <v>89343079</v>
      </c>
      <c r="C85">
        <f t="shared" si="3"/>
        <v>6.8815454017253391E-2</v>
      </c>
      <c r="D85">
        <f t="shared" si="2"/>
        <v>1.0688154540172534</v>
      </c>
    </row>
    <row r="86" spans="1:4" x14ac:dyDescent="0.3">
      <c r="A86" s="1">
        <v>44785</v>
      </c>
      <c r="B86">
        <v>91363106</v>
      </c>
      <c r="C86">
        <f t="shared" si="3"/>
        <v>2.2609775962612617E-2</v>
      </c>
      <c r="D86">
        <f t="shared" si="2"/>
        <v>1.0226097759626127</v>
      </c>
    </row>
    <row r="87" spans="1:4" x14ac:dyDescent="0.3">
      <c r="A87" s="1">
        <v>44792</v>
      </c>
      <c r="B87">
        <v>95922539</v>
      </c>
      <c r="C87">
        <f t="shared" si="3"/>
        <v>4.9904531485608646E-2</v>
      </c>
      <c r="D87">
        <f t="shared" si="2"/>
        <v>1.0499045314856086</v>
      </c>
    </row>
    <row r="88" spans="1:4" x14ac:dyDescent="0.3">
      <c r="A88" s="1">
        <v>44799</v>
      </c>
      <c r="B88">
        <v>90869415</v>
      </c>
      <c r="C88">
        <f t="shared" si="3"/>
        <v>-5.2679214423212883E-2</v>
      </c>
      <c r="D88">
        <f t="shared" si="2"/>
        <v>0.94732078557678712</v>
      </c>
    </row>
    <row r="89" spans="1:4" x14ac:dyDescent="0.3">
      <c r="A89" s="1">
        <v>44806</v>
      </c>
      <c r="B89">
        <v>91876175</v>
      </c>
      <c r="C89">
        <f t="shared" si="3"/>
        <v>1.1079195348621975E-2</v>
      </c>
      <c r="D89">
        <f t="shared" si="2"/>
        <v>1.011079195348622</v>
      </c>
    </row>
    <row r="90" spans="1:4" x14ac:dyDescent="0.3">
      <c r="A90" s="1">
        <v>44813</v>
      </c>
      <c r="B90">
        <v>91798729</v>
      </c>
      <c r="C90">
        <f t="shared" si="3"/>
        <v>-8.429388794211339E-4</v>
      </c>
      <c r="D90">
        <f t="shared" si="2"/>
        <v>0.99915706112057889</v>
      </c>
    </row>
    <row r="91" spans="1:4" x14ac:dyDescent="0.3">
      <c r="A91" s="1">
        <v>44820</v>
      </c>
      <c r="B91">
        <v>87674896</v>
      </c>
      <c r="C91">
        <f t="shared" si="3"/>
        <v>-4.4922550071472125E-2</v>
      </c>
      <c r="D91">
        <f t="shared" si="2"/>
        <v>0.95507744992852783</v>
      </c>
    </row>
    <row r="92" spans="1:4" x14ac:dyDescent="0.3">
      <c r="A92" s="1">
        <v>44827</v>
      </c>
      <c r="B92">
        <v>85845306</v>
      </c>
      <c r="C92">
        <f t="shared" si="3"/>
        <v>-2.0867889024926815E-2</v>
      </c>
      <c r="D92">
        <f t="shared" si="2"/>
        <v>0.97913211097507313</v>
      </c>
    </row>
    <row r="93" spans="1:4" x14ac:dyDescent="0.3">
      <c r="A93" s="1">
        <v>44834</v>
      </c>
      <c r="B93">
        <v>98797607</v>
      </c>
      <c r="C93">
        <f t="shared" si="3"/>
        <v>0.15087954838206297</v>
      </c>
      <c r="D93">
        <f t="shared" si="2"/>
        <v>1.1508795483820631</v>
      </c>
    </row>
    <row r="94" spans="1:4" x14ac:dyDescent="0.3">
      <c r="A94" s="1">
        <v>44841</v>
      </c>
      <c r="B94">
        <v>98613693</v>
      </c>
      <c r="C94">
        <f t="shared" si="3"/>
        <v>-1.8615228200820693E-3</v>
      </c>
      <c r="D94">
        <f t="shared" si="2"/>
        <v>0.99813847717991788</v>
      </c>
    </row>
    <row r="95" spans="1:4" x14ac:dyDescent="0.3">
      <c r="A95" s="1">
        <v>44848</v>
      </c>
      <c r="B95">
        <v>100607849</v>
      </c>
      <c r="C95">
        <f t="shared" si="3"/>
        <v>2.0221897581708049E-2</v>
      </c>
      <c r="D95">
        <f t="shared" si="2"/>
        <v>1.0202218975817081</v>
      </c>
    </row>
    <row r="96" spans="1:4" x14ac:dyDescent="0.3">
      <c r="A96" s="1">
        <v>44855</v>
      </c>
      <c r="B96">
        <v>104112129</v>
      </c>
      <c r="C96">
        <f t="shared" si="3"/>
        <v>3.4831079630775127E-2</v>
      </c>
      <c r="D96">
        <f t="shared" si="2"/>
        <v>1.0348310796307751</v>
      </c>
    </row>
    <row r="97" spans="1:4" x14ac:dyDescent="0.3">
      <c r="A97" s="1">
        <v>44862</v>
      </c>
      <c r="B97">
        <v>107548645</v>
      </c>
      <c r="C97">
        <f t="shared" si="3"/>
        <v>3.3007835235028191E-2</v>
      </c>
      <c r="D97">
        <f t="shared" si="2"/>
        <v>1.0330078352350283</v>
      </c>
    </row>
    <row r="98" spans="1:4" x14ac:dyDescent="0.3">
      <c r="A98" s="1">
        <v>44869</v>
      </c>
      <c r="B98">
        <v>106967827</v>
      </c>
      <c r="C98">
        <f t="shared" si="3"/>
        <v>-5.4005143439975461E-3</v>
      </c>
      <c r="D98">
        <f t="shared" si="2"/>
        <v>0.99459948565600242</v>
      </c>
    </row>
    <row r="99" spans="1:4" x14ac:dyDescent="0.3">
      <c r="A99" s="1">
        <v>44876</v>
      </c>
      <c r="B99">
        <v>109445992</v>
      </c>
      <c r="C99">
        <f t="shared" si="3"/>
        <v>2.3167386582509525E-2</v>
      </c>
      <c r="D99">
        <f t="shared" si="2"/>
        <v>1.0231673865825095</v>
      </c>
    </row>
    <row r="100" spans="1:4" x14ac:dyDescent="0.3">
      <c r="A100" s="1">
        <v>44883</v>
      </c>
      <c r="B100">
        <v>110863770</v>
      </c>
      <c r="C100">
        <f t="shared" si="3"/>
        <v>1.2954133578505094E-2</v>
      </c>
      <c r="D100">
        <f t="shared" si="2"/>
        <v>1.0129541335785051</v>
      </c>
    </row>
    <row r="101" spans="1:4" x14ac:dyDescent="0.3">
      <c r="A101" s="1">
        <v>44890</v>
      </c>
      <c r="B101">
        <v>108121689</v>
      </c>
      <c r="C101">
        <f t="shared" si="3"/>
        <v>-2.4733788143773208E-2</v>
      </c>
      <c r="D101">
        <f t="shared" si="2"/>
        <v>0.97526621185622675</v>
      </c>
    </row>
    <row r="102" spans="1:4" x14ac:dyDescent="0.3">
      <c r="A102" s="1">
        <v>44897</v>
      </c>
      <c r="B102">
        <v>101895905</v>
      </c>
      <c r="C102">
        <f t="shared" si="3"/>
        <v>-5.7581268453917693E-2</v>
      </c>
      <c r="D102">
        <f t="shared" si="2"/>
        <v>0.94241873154608236</v>
      </c>
    </row>
    <row r="103" spans="1:4" x14ac:dyDescent="0.3">
      <c r="A103" s="1">
        <v>44904</v>
      </c>
      <c r="B103">
        <v>102891251</v>
      </c>
      <c r="C103">
        <f t="shared" si="3"/>
        <v>9.7682630131210868E-3</v>
      </c>
      <c r="D103">
        <f t="shared" si="2"/>
        <v>1.0097682630131211</v>
      </c>
    </row>
    <row r="104" spans="1:4" x14ac:dyDescent="0.3">
      <c r="A104" s="1">
        <v>44911</v>
      </c>
      <c r="B104">
        <v>103320610</v>
      </c>
      <c r="C104">
        <f t="shared" si="3"/>
        <v>4.1729398352829822E-3</v>
      </c>
      <c r="D104">
        <f t="shared" si="2"/>
        <v>1.004172939835283</v>
      </c>
    </row>
    <row r="105" spans="1:4" x14ac:dyDescent="0.3">
      <c r="A105" s="1">
        <v>44918</v>
      </c>
      <c r="B105">
        <v>106560364</v>
      </c>
      <c r="C105">
        <f t="shared" si="3"/>
        <v>3.1356318937722109E-2</v>
      </c>
      <c r="D105">
        <f t="shared" si="2"/>
        <v>1.0313563189377222</v>
      </c>
    </row>
    <row r="106" spans="1:4" x14ac:dyDescent="0.3">
      <c r="A106" s="1">
        <v>44925</v>
      </c>
      <c r="B106">
        <v>107633774</v>
      </c>
      <c r="C106">
        <f t="shared" si="3"/>
        <v>1.007325763264097E-2</v>
      </c>
      <c r="D106">
        <f t="shared" si="2"/>
        <v>1.010073257632641</v>
      </c>
    </row>
    <row r="107" spans="1:4" x14ac:dyDescent="0.3">
      <c r="A107" s="26" t="s">
        <v>5</v>
      </c>
      <c r="B107" s="26"/>
      <c r="C107" s="2">
        <f>AVERAGE(C3:C106)</f>
        <v>1.0523263392606598E-2</v>
      </c>
      <c r="D107" s="2"/>
    </row>
    <row r="108" spans="1:4" x14ac:dyDescent="0.3">
      <c r="A108" s="26" t="s">
        <v>6</v>
      </c>
      <c r="B108" s="26"/>
      <c r="C108" s="2"/>
      <c r="D108" s="2">
        <f>GEOMEAN(D3:D106)-1</f>
        <v>9.6230142228492799E-3</v>
      </c>
    </row>
    <row r="109" spans="1:4" x14ac:dyDescent="0.3">
      <c r="A109" s="26" t="s">
        <v>7</v>
      </c>
      <c r="B109" s="26"/>
      <c r="C109" s="2">
        <f>_xlfn.STDEV.S(C3:C106)</f>
        <v>4.2905200523698485E-2</v>
      </c>
      <c r="D109" s="2"/>
    </row>
    <row r="110" spans="1:4" x14ac:dyDescent="0.3">
      <c r="A110" s="26" t="s">
        <v>8</v>
      </c>
      <c r="B110" s="26"/>
      <c r="C110" s="2">
        <f>_xlfn.VAR.S(C3:C106)</f>
        <v>1.840856231978777E-3</v>
      </c>
      <c r="D110" s="2"/>
    </row>
  </sheetData>
  <mergeCells count="4">
    <mergeCell ref="A107:B107"/>
    <mergeCell ref="A108:B108"/>
    <mergeCell ref="A109:B109"/>
    <mergeCell ref="A110:B110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5846-E20D-4E9E-BBB2-B1A508B80ADD}">
  <dimension ref="A13:F41"/>
  <sheetViews>
    <sheetView topLeftCell="A15" workbookViewId="0">
      <selection activeCell="B24" sqref="B24:F24"/>
    </sheetView>
  </sheetViews>
  <sheetFormatPr defaultRowHeight="14.4" x14ac:dyDescent="0.3"/>
  <cols>
    <col min="1" max="1" width="41" customWidth="1"/>
    <col min="2" max="2" width="15.77734375" customWidth="1"/>
    <col min="3" max="3" width="17.109375" customWidth="1"/>
    <col min="4" max="4" width="15.33203125" customWidth="1"/>
    <col min="5" max="5" width="16" customWidth="1"/>
    <col min="6" max="6" width="17.5546875" customWidth="1"/>
  </cols>
  <sheetData>
    <row r="13" spans="1:6" x14ac:dyDescent="0.3">
      <c r="A13" s="27" t="s">
        <v>9</v>
      </c>
      <c r="B13" s="28"/>
      <c r="C13" s="28"/>
      <c r="D13" s="28"/>
      <c r="E13" s="28"/>
      <c r="F13" s="28"/>
    </row>
    <row r="14" spans="1:6" x14ac:dyDescent="0.3">
      <c r="A14" s="3"/>
      <c r="B14" s="3" t="s">
        <v>10</v>
      </c>
      <c r="C14" s="3" t="s">
        <v>20</v>
      </c>
      <c r="D14" s="3" t="s">
        <v>21</v>
      </c>
      <c r="E14" s="3" t="s">
        <v>22</v>
      </c>
      <c r="F14" s="3" t="s">
        <v>23</v>
      </c>
    </row>
    <row r="15" spans="1:6" x14ac:dyDescent="0.3">
      <c r="A15" s="4" t="s">
        <v>11</v>
      </c>
      <c r="B15" s="4">
        <f>Apple!D108</f>
        <v>4.1753522555865175E-5</v>
      </c>
      <c r="C15" s="4">
        <f>Tesla!D108</f>
        <v>-7.5884114594009233E-3</v>
      </c>
      <c r="D15" s="4">
        <f>Nike!D108</f>
        <v>-1.8823724368549621E-3</v>
      </c>
      <c r="E15" s="4">
        <f>Walmart!D108</f>
        <v>-2.2376379384736467E-5</v>
      </c>
      <c r="F15" s="5">
        <f>Exxon!D108</f>
        <v>9.6230142228492799E-3</v>
      </c>
    </row>
    <row r="16" spans="1:6" x14ac:dyDescent="0.3">
      <c r="A16" s="3" t="s">
        <v>12</v>
      </c>
      <c r="B16" s="3">
        <f>Apple!C109</f>
        <v>3.6205383376763822E-2</v>
      </c>
      <c r="C16" s="3">
        <f>Tesla!C109</f>
        <v>7.6303516749577568E-2</v>
      </c>
      <c r="D16" s="3">
        <f>Nike!C109</f>
        <v>4.4645939530806311E-2</v>
      </c>
      <c r="E16" s="3">
        <f>Walmart!C109</f>
        <v>3.2298016807422517E-2</v>
      </c>
      <c r="F16" s="3">
        <f>Exxon!C109</f>
        <v>4.2905200523698485E-2</v>
      </c>
    </row>
    <row r="17" spans="1:6" x14ac:dyDescent="0.3">
      <c r="A17" s="4" t="s">
        <v>13</v>
      </c>
      <c r="B17" s="4">
        <v>0.2</v>
      </c>
      <c r="C17" s="4">
        <v>0.2</v>
      </c>
      <c r="D17" s="4">
        <v>0.2</v>
      </c>
      <c r="E17" s="4">
        <v>0.2</v>
      </c>
      <c r="F17" s="4">
        <v>0.2</v>
      </c>
    </row>
    <row r="19" spans="1:6" x14ac:dyDescent="0.3">
      <c r="A19" s="5" t="s">
        <v>14</v>
      </c>
      <c r="B19" s="5">
        <f>B15*B17</f>
        <v>8.3507045111730356E-6</v>
      </c>
      <c r="C19" s="5">
        <f t="shared" ref="C19:F19" si="0">C15*C17</f>
        <v>-1.5176822918801848E-3</v>
      </c>
      <c r="D19" s="5">
        <f t="shared" si="0"/>
        <v>-3.7647448737099243E-4</v>
      </c>
      <c r="E19" s="5">
        <f t="shared" si="0"/>
        <v>-4.4752758769472932E-6</v>
      </c>
      <c r="F19" s="5">
        <f t="shared" si="0"/>
        <v>1.924602844569856E-3</v>
      </c>
    </row>
    <row r="20" spans="1:6" ht="15.6" x14ac:dyDescent="0.3">
      <c r="A20" s="6" t="s">
        <v>15</v>
      </c>
      <c r="B20" s="7">
        <f>SUM(B19:F19)</f>
        <v>3.4321493952904538E-5</v>
      </c>
    </row>
    <row r="23" spans="1:6" x14ac:dyDescent="0.3">
      <c r="A23" s="27" t="s">
        <v>16</v>
      </c>
      <c r="B23" s="28"/>
      <c r="C23" s="28"/>
      <c r="D23" s="28"/>
      <c r="E23" s="28"/>
      <c r="F23" s="28"/>
    </row>
    <row r="24" spans="1:6" x14ac:dyDescent="0.3">
      <c r="A24" s="3"/>
      <c r="B24" s="3" t="s">
        <v>10</v>
      </c>
      <c r="C24" s="3" t="s">
        <v>20</v>
      </c>
      <c r="D24" s="3" t="s">
        <v>21</v>
      </c>
      <c r="E24" s="3" t="s">
        <v>22</v>
      </c>
      <c r="F24" s="3" t="s">
        <v>23</v>
      </c>
    </row>
    <row r="25" spans="1:6" x14ac:dyDescent="0.3">
      <c r="A25" s="5" t="s">
        <v>10</v>
      </c>
      <c r="B25" s="5">
        <v>1</v>
      </c>
      <c r="C25" s="5">
        <f>_xlfn.COVARIANCE.S(Apple!C3:C106,Tesla!C3:C106)</f>
        <v>1.5026410029241244E-3</v>
      </c>
      <c r="D25" s="5">
        <f>_xlfn.COVARIANCE.S(Apple!C3:C106,Nike!C3:C106)</f>
        <v>8.0452879314867705E-4</v>
      </c>
      <c r="E25" s="5">
        <f>_xlfn.COVARIANCE.S(Apple!C3:C106,Walmart!C3:C106)</f>
        <v>4.4525451401711632E-4</v>
      </c>
      <c r="F25" s="5">
        <f>_xlfn.COVARIANCE.S(Apple!C3:C106,Exxon!C3:C106)</f>
        <v>2.878219562401667E-5</v>
      </c>
    </row>
    <row r="26" spans="1:6" x14ac:dyDescent="0.3">
      <c r="A26" s="3" t="s">
        <v>20</v>
      </c>
      <c r="B26" s="3">
        <f>_xlfn.COVARIANCE.S(Apple!C3:C106,Tesla!C3:C106)</f>
        <v>1.5026410029241244E-3</v>
      </c>
      <c r="C26" s="3">
        <v>1</v>
      </c>
      <c r="D26" s="3">
        <f>_xlfn.COVARIANCE.S(Tesla!C3:C106,Nike!C3:C106)</f>
        <v>1.3144538276529639E-3</v>
      </c>
      <c r="E26" s="3">
        <f>_xlfn.COVARIANCE.S(Tesla!C3:C106,Walmart!C3:C106)</f>
        <v>7.0522850507986749E-4</v>
      </c>
      <c r="F26" s="3">
        <f>_xlfn.COVARIANCE.S(Tesla!C3:C106,Exxon!C3:C106)</f>
        <v>2.9010547254476219E-4</v>
      </c>
    </row>
    <row r="27" spans="1:6" x14ac:dyDescent="0.3">
      <c r="A27" s="5" t="s">
        <v>21</v>
      </c>
      <c r="B27" s="5">
        <f>_xlfn.COVARIANCE.S(Apple!C3:C106,Nike!C3:C106)</f>
        <v>8.0452879314867705E-4</v>
      </c>
      <c r="C27" s="5">
        <f>_xlfn.COVARIANCE.S(Tesla!C3:C106,Nike!C3:C106)</f>
        <v>1.3144538276529639E-3</v>
      </c>
      <c r="D27" s="5">
        <v>1</v>
      </c>
      <c r="E27" s="5">
        <f>_xlfn.COVARIANCE.S(Nike!C3:C106,Walmart!C3:C106)</f>
        <v>3.6035666819426613E-4</v>
      </c>
      <c r="F27" s="5">
        <f>_xlfn.COVARIANCE.S(Nike!C3:C106,Exxon!C3:C106)</f>
        <v>6.4783365077110666E-5</v>
      </c>
    </row>
    <row r="28" spans="1:6" x14ac:dyDescent="0.3">
      <c r="A28" s="3" t="s">
        <v>22</v>
      </c>
      <c r="B28" s="3">
        <f>_xlfn.COVARIANCE.S(Apple!C3:C106,Walmart!C3:C106)</f>
        <v>4.4525451401711632E-4</v>
      </c>
      <c r="C28" s="3">
        <f>_xlfn.COVARIANCE.S(Tesla!C3:C106,Walmart!C3:C106)</f>
        <v>7.0522850507986749E-4</v>
      </c>
      <c r="D28" s="3">
        <f>_xlfn.COVARIANCE.S(Nike!C3:C106,Walmart!C3:C106)</f>
        <v>3.6035666819426613E-4</v>
      </c>
      <c r="E28" s="3">
        <v>1</v>
      </c>
      <c r="F28" s="3">
        <f>_xlfn.COVARIANCE.S(Walmart!C3:C106,Exxon!C3:C106)</f>
        <v>-1.3863453294834912E-5</v>
      </c>
    </row>
    <row r="29" spans="1:6" x14ac:dyDescent="0.3">
      <c r="A29" s="5" t="s">
        <v>23</v>
      </c>
      <c r="B29" s="5">
        <f>_xlfn.COVARIANCE.S(Apple!C3:C106,Exxon!C3:C106)</f>
        <v>2.878219562401667E-5</v>
      </c>
      <c r="C29" s="5">
        <f>_xlfn.COVARIANCE.S(Tesla!C3:C106,Exxon!C3:C106)</f>
        <v>2.9010547254476219E-4</v>
      </c>
      <c r="D29" s="5">
        <f>_xlfn.COVARIANCE.S(Nike!C3:C106,Exxon!C3:C106)</f>
        <v>6.4783365077110666E-5</v>
      </c>
      <c r="E29" s="5">
        <f>_xlfn.COVARIANCE.S(Walmart!C3:C106,Exxon!C3:C106)</f>
        <v>-1.3863453294834912E-5</v>
      </c>
      <c r="F29" s="5">
        <v>1</v>
      </c>
    </row>
    <row r="31" spans="1:6" x14ac:dyDescent="0.3">
      <c r="A31" s="8" t="s">
        <v>17</v>
      </c>
      <c r="B31" s="3" t="s">
        <v>10</v>
      </c>
      <c r="C31" s="3" t="s">
        <v>20</v>
      </c>
      <c r="D31" s="3" t="s">
        <v>21</v>
      </c>
      <c r="E31" s="3" t="s">
        <v>22</v>
      </c>
      <c r="F31" s="3" t="s">
        <v>23</v>
      </c>
    </row>
    <row r="32" spans="1:6" x14ac:dyDescent="0.3">
      <c r="B32" s="5">
        <f>(B17^2)*Apple!$C$110</f>
        <v>5.2433191418337857E-5</v>
      </c>
      <c r="C32" s="5">
        <f>(C17^2)*Tesla!$C$110</f>
        <v>2.3288906673412264E-4</v>
      </c>
      <c r="D32" s="5">
        <f>(D17^2)*Nike!$C$110</f>
        <v>7.9730396663536568E-5</v>
      </c>
      <c r="E32" s="5">
        <f>(E17^2)*Walmart!$C$110</f>
        <v>4.1726475587701897E-5</v>
      </c>
      <c r="F32" s="5">
        <f>(F17^2)*Exxon!$C$110</f>
        <v>7.3634249279151093E-5</v>
      </c>
    </row>
    <row r="34" spans="1:6" x14ac:dyDescent="0.3">
      <c r="A34" s="8" t="s">
        <v>18</v>
      </c>
      <c r="B34" s="3" t="s">
        <v>10</v>
      </c>
      <c r="C34" s="3" t="s">
        <v>20</v>
      </c>
      <c r="D34" s="3" t="s">
        <v>21</v>
      </c>
      <c r="E34" s="3" t="s">
        <v>22</v>
      </c>
      <c r="F34" s="3" t="s">
        <v>23</v>
      </c>
    </row>
    <row r="35" spans="1:6" x14ac:dyDescent="0.3">
      <c r="A35" s="3" t="s">
        <v>10</v>
      </c>
      <c r="B35" s="3">
        <f>(0.2^2)*B25</f>
        <v>4.0000000000000008E-2</v>
      </c>
      <c r="C35" s="3">
        <f t="shared" ref="C35:F35" si="1">(0.2^2)*C25</f>
        <v>6.0105640116964983E-5</v>
      </c>
      <c r="D35" s="3">
        <f t="shared" si="1"/>
        <v>3.2181151725947089E-5</v>
      </c>
      <c r="E35" s="3">
        <f t="shared" si="1"/>
        <v>1.7810180560684657E-5</v>
      </c>
      <c r="F35" s="3">
        <f t="shared" si="1"/>
        <v>1.1512878249606671E-6</v>
      </c>
    </row>
    <row r="36" spans="1:6" x14ac:dyDescent="0.3">
      <c r="A36" s="5" t="s">
        <v>20</v>
      </c>
      <c r="B36" s="5">
        <f t="shared" ref="B36:F36" si="2">(0.2^2)*B26</f>
        <v>6.0105640116964983E-5</v>
      </c>
      <c r="C36" s="5">
        <f t="shared" si="2"/>
        <v>4.0000000000000008E-2</v>
      </c>
      <c r="D36" s="5">
        <f t="shared" si="2"/>
        <v>5.2578153106118567E-5</v>
      </c>
      <c r="E36" s="5">
        <f t="shared" si="2"/>
        <v>2.8209140203194703E-5</v>
      </c>
      <c r="F36" s="5">
        <f t="shared" si="2"/>
        <v>1.1604218901790491E-5</v>
      </c>
    </row>
    <row r="37" spans="1:6" x14ac:dyDescent="0.3">
      <c r="A37" s="3" t="s">
        <v>21</v>
      </c>
      <c r="B37" s="3">
        <f t="shared" ref="B37:F37" si="3">(0.2^2)*B27</f>
        <v>3.2181151725947089E-5</v>
      </c>
      <c r="C37" s="3">
        <f t="shared" si="3"/>
        <v>5.2578153106118567E-5</v>
      </c>
      <c r="D37" s="3">
        <f t="shared" si="3"/>
        <v>4.0000000000000008E-2</v>
      </c>
      <c r="E37" s="3">
        <f t="shared" si="3"/>
        <v>1.4414266727770648E-5</v>
      </c>
      <c r="F37" s="3">
        <f t="shared" si="3"/>
        <v>2.5913346030844271E-6</v>
      </c>
    </row>
    <row r="38" spans="1:6" x14ac:dyDescent="0.3">
      <c r="A38" s="5" t="s">
        <v>22</v>
      </c>
      <c r="B38" s="5">
        <f t="shared" ref="B38:F38" si="4">(0.2^2)*B28</f>
        <v>1.7810180560684657E-5</v>
      </c>
      <c r="C38" s="5">
        <f t="shared" si="4"/>
        <v>2.8209140203194703E-5</v>
      </c>
      <c r="D38" s="5">
        <f t="shared" si="4"/>
        <v>1.4414266727770648E-5</v>
      </c>
      <c r="E38" s="5">
        <f t="shared" si="4"/>
        <v>4.0000000000000008E-2</v>
      </c>
      <c r="F38" s="5">
        <f t="shared" si="4"/>
        <v>-5.5453813179339658E-7</v>
      </c>
    </row>
    <row r="39" spans="1:6" x14ac:dyDescent="0.3">
      <c r="A39" s="3" t="s">
        <v>23</v>
      </c>
      <c r="B39" s="3">
        <f t="shared" ref="B39:F39" si="5">(0.2^2)*B29</f>
        <v>1.1512878249606671E-6</v>
      </c>
      <c r="C39" s="3">
        <f t="shared" si="5"/>
        <v>1.1604218901790491E-5</v>
      </c>
      <c r="D39" s="3">
        <f t="shared" si="5"/>
        <v>2.5913346030844271E-6</v>
      </c>
      <c r="E39" s="3">
        <f t="shared" si="5"/>
        <v>-5.5453813179339658E-7</v>
      </c>
      <c r="F39" s="3">
        <f t="shared" si="5"/>
        <v>4.0000000000000008E-2</v>
      </c>
    </row>
    <row r="41" spans="1:6" ht="15.6" x14ac:dyDescent="0.3">
      <c r="A41" s="9" t="s">
        <v>19</v>
      </c>
      <c r="B41" s="10">
        <f>SUM(B32:F32)+2*(SUM(B36:B39)+SUM(C37:C39)+SUM(D38:D39)+SUM(E39))</f>
        <v>9.2059505096029563E-4</v>
      </c>
    </row>
  </sheetData>
  <mergeCells count="2">
    <mergeCell ref="A13:F13"/>
    <mergeCell ref="A23:F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5D8A-D9C5-4406-8AF8-016735F6A50E}">
  <dimension ref="A1:S103"/>
  <sheetViews>
    <sheetView workbookViewId="0">
      <selection activeCell="B37" sqref="B37:H37"/>
    </sheetView>
  </sheetViews>
  <sheetFormatPr defaultRowHeight="14.4" x14ac:dyDescent="0.3"/>
  <cols>
    <col min="7" max="7" width="15.109375" customWidth="1"/>
    <col min="8" max="8" width="16.109375" customWidth="1"/>
    <col min="11" max="11" width="12.6640625" bestFit="1" customWidth="1"/>
    <col min="14" max="14" width="12.6640625" bestFit="1" customWidth="1"/>
    <col min="16" max="16" width="20.6640625" customWidth="1"/>
    <col min="17" max="17" width="16.21875" customWidth="1"/>
    <col min="18" max="18" width="19.109375" customWidth="1"/>
    <col min="19" max="19" width="19.33203125" customWidth="1"/>
  </cols>
  <sheetData>
    <row r="1" spans="1:19" x14ac:dyDescent="0.3">
      <c r="A1" s="39" t="s">
        <v>24</v>
      </c>
      <c r="B1" s="39"/>
      <c r="C1" s="39"/>
      <c r="D1" s="39"/>
      <c r="E1" s="39"/>
      <c r="F1" s="39"/>
      <c r="G1" s="36" t="s">
        <v>25</v>
      </c>
      <c r="H1" s="36"/>
    </row>
    <row r="2" spans="1:19" ht="43.2" customHeight="1" x14ac:dyDescent="0.3">
      <c r="A2" s="12" t="s">
        <v>26</v>
      </c>
      <c r="B2" s="12" t="s">
        <v>27</v>
      </c>
      <c r="C2" s="12" t="s">
        <v>55</v>
      </c>
      <c r="D2" s="12" t="s">
        <v>56</v>
      </c>
      <c r="E2" s="12" t="s">
        <v>57</v>
      </c>
      <c r="F2" s="12" t="s">
        <v>58</v>
      </c>
      <c r="G2" s="12" t="s">
        <v>28</v>
      </c>
      <c r="H2" s="12" t="s">
        <v>29</v>
      </c>
      <c r="I2" s="12"/>
      <c r="J2" s="37" t="s">
        <v>30</v>
      </c>
      <c r="K2" s="37"/>
      <c r="M2" s="38" t="s">
        <v>11</v>
      </c>
      <c r="N2" s="38"/>
      <c r="P2" s="12" t="s">
        <v>67</v>
      </c>
      <c r="Q2" s="12" t="s">
        <v>68</v>
      </c>
      <c r="R2" s="17" t="s">
        <v>64</v>
      </c>
      <c r="S2" s="17" t="s">
        <v>65</v>
      </c>
    </row>
    <row r="3" spans="1:19" x14ac:dyDescent="0.3">
      <c r="A3">
        <f>SUM(B3:F3)</f>
        <v>1</v>
      </c>
      <c r="B3">
        <v>1</v>
      </c>
      <c r="C3">
        <v>0</v>
      </c>
      <c r="D3">
        <v>0</v>
      </c>
      <c r="E3">
        <v>0</v>
      </c>
      <c r="F3">
        <v>0</v>
      </c>
      <c r="G3" s="18">
        <f>R3+2*S3</f>
        <v>1.3108297854584462E-3</v>
      </c>
      <c r="H3">
        <f>B3*$N$3+C3*$N$4+D3*$N$5+E3*$N$6+F3*$N$7</f>
        <v>4.1753522555865175E-5</v>
      </c>
      <c r="J3" t="s">
        <v>31</v>
      </c>
      <c r="K3">
        <f>Portfolio!B26</f>
        <v>1.5026410029241244E-3</v>
      </c>
      <c r="M3" t="s">
        <v>10</v>
      </c>
      <c r="N3">
        <f>Portfolio!B15</f>
        <v>4.1753522555865175E-5</v>
      </c>
      <c r="P3">
        <f>(M22^2)*K13</f>
        <v>0</v>
      </c>
      <c r="Q3">
        <f>M22*M23*K3</f>
        <v>0</v>
      </c>
      <c r="R3">
        <f t="shared" ref="R3:R43" si="0">(B3^2)*$K$13+(C3^2)*$K$14+(D3^2)*$K$15+(E3^2)*$K$16+(F3^2)*K$17</f>
        <v>1.3108297854584462E-3</v>
      </c>
      <c r="S3" s="18">
        <f t="shared" ref="S3:S43" si="1">B3*C3*$K$3+B3*D3*$K$4+B3*E3*$K$5+B3*F3*$K$6+C3*D3*$K$7+C3*E3*$K$8+C3*F3*$K$9+D3*E3*$K$10+D3*F3*$K$11+E3*F3*$K$12</f>
        <v>0</v>
      </c>
    </row>
    <row r="4" spans="1:19" x14ac:dyDescent="0.3">
      <c r="A4">
        <f t="shared" ref="A4:A67" si="2">SUM(B4:F4)</f>
        <v>1</v>
      </c>
      <c r="B4">
        <v>0.9</v>
      </c>
      <c r="C4">
        <v>0.1</v>
      </c>
      <c r="D4">
        <v>0</v>
      </c>
      <c r="E4">
        <v>0</v>
      </c>
      <c r="F4">
        <v>0</v>
      </c>
      <c r="G4" s="18">
        <f t="shared" ref="G4:G43" si="3">R4+2*S4</f>
        <v>1.3904697734312146E-3</v>
      </c>
      <c r="H4">
        <f t="shared" ref="H4:H43" si="4">B4*$N$3+C4*$N$4+D4*$N$5+E4*$N$6+F4*$N$7</f>
        <v>-7.212629756398137E-4</v>
      </c>
      <c r="J4" t="s">
        <v>32</v>
      </c>
      <c r="K4">
        <f>Portfolio!B27</f>
        <v>8.0452879314867705E-4</v>
      </c>
      <c r="M4" t="s">
        <v>20</v>
      </c>
      <c r="N4">
        <f>Portfolio!C15</f>
        <v>-7.5884114594009233E-3</v>
      </c>
      <c r="P4">
        <f>(M23^2)*K14</f>
        <v>0</v>
      </c>
      <c r="Q4">
        <f>M22*M24*K4</f>
        <v>0</v>
      </c>
      <c r="R4">
        <f t="shared" si="0"/>
        <v>1.1199943929048721E-3</v>
      </c>
      <c r="S4" s="18">
        <f t="shared" si="1"/>
        <v>1.3523769026317121E-4</v>
      </c>
    </row>
    <row r="5" spans="1:19" x14ac:dyDescent="0.3">
      <c r="A5">
        <f t="shared" si="2"/>
        <v>1</v>
      </c>
      <c r="B5">
        <v>0.8</v>
      </c>
      <c r="C5">
        <v>0.1</v>
      </c>
      <c r="D5">
        <v>0.1</v>
      </c>
      <c r="E5">
        <v>0</v>
      </c>
      <c r="F5">
        <v>0</v>
      </c>
      <c r="G5" s="18">
        <f t="shared" si="3"/>
        <v>1.3125221724675281E-3</v>
      </c>
      <c r="H5">
        <f t="shared" si="4"/>
        <v>-9.1367557158089641E-4</v>
      </c>
      <c r="J5" t="s">
        <v>33</v>
      </c>
      <c r="K5">
        <f>Portfolio!B28</f>
        <v>4.4525451401711632E-4</v>
      </c>
      <c r="M5" t="s">
        <v>21</v>
      </c>
      <c r="N5">
        <f>Portfolio!D15</f>
        <v>-1.8823724368549621E-3</v>
      </c>
      <c r="P5">
        <f t="shared" ref="P5:P6" si="5">(M24^2)*K15</f>
        <v>0</v>
      </c>
      <c r="Q5">
        <f>M22*M25*K5</f>
        <v>0</v>
      </c>
      <c r="R5">
        <f t="shared" si="0"/>
        <v>9.1708592854282053E-4</v>
      </c>
      <c r="S5" s="18">
        <f t="shared" si="1"/>
        <v>1.9771812196235378E-4</v>
      </c>
    </row>
    <row r="6" spans="1:19" x14ac:dyDescent="0.3">
      <c r="A6">
        <f t="shared" si="2"/>
        <v>0.99999999999999989</v>
      </c>
      <c r="B6">
        <v>0.7</v>
      </c>
      <c r="C6">
        <v>0.1</v>
      </c>
      <c r="D6">
        <v>0.1</v>
      </c>
      <c r="E6">
        <v>0.1</v>
      </c>
      <c r="F6">
        <v>0</v>
      </c>
      <c r="G6" s="18">
        <f t="shared" si="3"/>
        <v>1.1638332630521091E-3</v>
      </c>
      <c r="H6">
        <f t="shared" si="4"/>
        <v>-9.2008856177495664E-4</v>
      </c>
      <c r="J6" t="s">
        <v>59</v>
      </c>
      <c r="K6">
        <f>Portfolio!B29</f>
        <v>2.878219562401667E-5</v>
      </c>
      <c r="M6" t="s">
        <v>22</v>
      </c>
      <c r="N6">
        <f>Portfolio!E15</f>
        <v>-2.2376379384736467E-5</v>
      </c>
      <c r="P6">
        <f t="shared" si="5"/>
        <v>1.2878332083980537E-7</v>
      </c>
      <c r="Q6">
        <f>M22*M26*K6</f>
        <v>0</v>
      </c>
      <c r="R6">
        <f t="shared" si="0"/>
        <v>7.3089307962097879E-4</v>
      </c>
      <c r="S6" s="18">
        <f t="shared" si="1"/>
        <v>2.164700917155652E-4</v>
      </c>
    </row>
    <row r="7" spans="1:19" x14ac:dyDescent="0.3">
      <c r="A7">
        <f t="shared" si="2"/>
        <v>0.99999999999999989</v>
      </c>
      <c r="B7">
        <v>0.6</v>
      </c>
      <c r="C7">
        <v>0.1</v>
      </c>
      <c r="D7">
        <v>0.1</v>
      </c>
      <c r="E7">
        <v>0.1</v>
      </c>
      <c r="F7">
        <v>0.1</v>
      </c>
      <c r="G7" s="18">
        <f t="shared" si="3"/>
        <v>9.6705983822192344E-4</v>
      </c>
      <c r="H7">
        <f t="shared" si="4"/>
        <v>3.8037508254384856E-5</v>
      </c>
      <c r="J7" t="s">
        <v>34</v>
      </c>
      <c r="K7">
        <f>Portfolio!C27</f>
        <v>1.3144538276529639E-3</v>
      </c>
      <c r="M7" t="s">
        <v>23</v>
      </c>
      <c r="N7">
        <f>Portfolio!F15</f>
        <v>9.6230142228492799E-3</v>
      </c>
      <c r="P7">
        <f>(M26^2)*K17</f>
        <v>1.8001759113654688E-3</v>
      </c>
      <c r="Q7">
        <f>M23*M24*K7</f>
        <v>0</v>
      </c>
      <c r="R7">
        <f t="shared" si="0"/>
        <v>5.7889376983116868E-4</v>
      </c>
      <c r="S7" s="18">
        <f t="shared" si="1"/>
        <v>1.9408303419537741E-4</v>
      </c>
    </row>
    <row r="8" spans="1:19" x14ac:dyDescent="0.3">
      <c r="A8">
        <f t="shared" si="2"/>
        <v>0.99999999999999989</v>
      </c>
      <c r="B8">
        <v>0.5</v>
      </c>
      <c r="C8">
        <v>0.2</v>
      </c>
      <c r="D8">
        <v>0.1</v>
      </c>
      <c r="E8">
        <v>0.1</v>
      </c>
      <c r="F8">
        <v>0.1</v>
      </c>
      <c r="G8" s="18">
        <f t="shared" si="3"/>
        <v>1.1383710881557722E-3</v>
      </c>
      <c r="H8">
        <f t="shared" si="4"/>
        <v>-7.2497898994129412E-4</v>
      </c>
      <c r="J8" t="s">
        <v>35</v>
      </c>
      <c r="K8">
        <f>Portfolio!C28</f>
        <v>7.0522850507986749E-4</v>
      </c>
      <c r="Q8">
        <f>M23*M25*K8</f>
        <v>0</v>
      </c>
      <c r="R8">
        <f t="shared" si="0"/>
        <v>6.0936929348133159E-4</v>
      </c>
      <c r="S8" s="18">
        <f t="shared" si="1"/>
        <v>2.645008973372203E-4</v>
      </c>
    </row>
    <row r="9" spans="1:19" x14ac:dyDescent="0.3">
      <c r="A9">
        <f t="shared" si="2"/>
        <v>1</v>
      </c>
      <c r="B9">
        <v>0.4</v>
      </c>
      <c r="C9">
        <v>0.2</v>
      </c>
      <c r="D9">
        <v>0.2</v>
      </c>
      <c r="E9">
        <v>0.1</v>
      </c>
      <c r="F9">
        <v>0.1</v>
      </c>
      <c r="G9" s="18">
        <f t="shared" si="3"/>
        <v>1.1199605120128435E-3</v>
      </c>
      <c r="H9">
        <f t="shared" si="4"/>
        <v>-9.1739158588237694E-4</v>
      </c>
      <c r="J9" t="s">
        <v>60</v>
      </c>
      <c r="K9">
        <f>Portfolio!C29</f>
        <v>2.9010547254476219E-4</v>
      </c>
      <c r="Q9">
        <f>M23*M26*K9</f>
        <v>0</v>
      </c>
      <c r="R9">
        <f t="shared" si="0"/>
        <v>5.5119241028772387E-4</v>
      </c>
      <c r="S9" s="18">
        <f t="shared" si="1"/>
        <v>2.8438405086255982E-4</v>
      </c>
    </row>
    <row r="10" spans="1:19" x14ac:dyDescent="0.3">
      <c r="A10">
        <f t="shared" si="2"/>
        <v>0.99999999999999989</v>
      </c>
      <c r="B10">
        <v>0.3</v>
      </c>
      <c r="C10">
        <v>0.2</v>
      </c>
      <c r="D10">
        <v>0.2</v>
      </c>
      <c r="E10">
        <v>0.2</v>
      </c>
      <c r="F10">
        <v>0.1</v>
      </c>
      <c r="G10" s="18">
        <f t="shared" si="3"/>
        <v>1.0267911663918894E-3</v>
      </c>
      <c r="H10">
        <f t="shared" si="4"/>
        <v>-9.2380457607643685E-4</v>
      </c>
      <c r="J10" t="s">
        <v>36</v>
      </c>
      <c r="K10">
        <f>Portfolio!D28</f>
        <v>3.6035666819426613E-4</v>
      </c>
      <c r="Q10">
        <f>M24*M25*K10</f>
        <v>0</v>
      </c>
      <c r="R10">
        <f t="shared" si="0"/>
        <v>4.9072918199640902E-4</v>
      </c>
      <c r="S10" s="18">
        <f t="shared" si="1"/>
        <v>2.6803099219774025E-4</v>
      </c>
    </row>
    <row r="11" spans="1:19" x14ac:dyDescent="0.3">
      <c r="A11">
        <f t="shared" si="2"/>
        <v>1</v>
      </c>
      <c r="B11">
        <v>0.2</v>
      </c>
      <c r="C11">
        <v>0.2</v>
      </c>
      <c r="D11">
        <v>0.2</v>
      </c>
      <c r="E11">
        <v>0.2</v>
      </c>
      <c r="F11">
        <v>0.2</v>
      </c>
      <c r="G11" s="18">
        <f t="shared" si="3"/>
        <v>9.2059505096029563E-4</v>
      </c>
      <c r="H11">
        <f t="shared" si="4"/>
        <v>3.4321493952904538E-5</v>
      </c>
      <c r="J11" t="s">
        <v>61</v>
      </c>
      <c r="K11">
        <f>Portfolio!D29</f>
        <v>6.4783365077110666E-5</v>
      </c>
      <c r="Q11">
        <f>M24*M26*K11</f>
        <v>0</v>
      </c>
      <c r="R11">
        <f t="shared" si="0"/>
        <v>4.8041337968285E-4</v>
      </c>
      <c r="S11" s="18">
        <f t="shared" si="1"/>
        <v>2.2009083563872281E-4</v>
      </c>
    </row>
    <row r="12" spans="1:19" x14ac:dyDescent="0.3">
      <c r="A12">
        <f t="shared" si="2"/>
        <v>1</v>
      </c>
      <c r="B12">
        <v>0</v>
      </c>
      <c r="C12">
        <v>1</v>
      </c>
      <c r="D12">
        <v>0</v>
      </c>
      <c r="E12">
        <v>0</v>
      </c>
      <c r="F12">
        <v>0</v>
      </c>
      <c r="G12" s="18">
        <f t="shared" si="3"/>
        <v>5.8222266683530645E-3</v>
      </c>
      <c r="H12">
        <f t="shared" si="4"/>
        <v>-7.5884114594009233E-3</v>
      </c>
      <c r="J12" t="s">
        <v>63</v>
      </c>
      <c r="K12">
        <f>Portfolio!E29</f>
        <v>-1.3863453294834912E-5</v>
      </c>
      <c r="Q12">
        <f>M25*M26*K12</f>
        <v>-1.5232560589217984E-7</v>
      </c>
      <c r="R12">
        <f t="shared" si="0"/>
        <v>5.8222266683530645E-3</v>
      </c>
      <c r="S12" s="18">
        <f t="shared" si="1"/>
        <v>0</v>
      </c>
    </row>
    <row r="13" spans="1:19" x14ac:dyDescent="0.3">
      <c r="A13">
        <f t="shared" si="2"/>
        <v>1</v>
      </c>
      <c r="B13">
        <v>0</v>
      </c>
      <c r="C13">
        <v>0.9</v>
      </c>
      <c r="D13">
        <v>0.1</v>
      </c>
      <c r="E13">
        <v>0</v>
      </c>
      <c r="F13">
        <v>0</v>
      </c>
      <c r="G13" s="18">
        <f t="shared" si="3"/>
        <v>4.9725378895094001E-3</v>
      </c>
      <c r="H13">
        <f t="shared" si="4"/>
        <v>-7.0178075571463274E-3</v>
      </c>
      <c r="J13" t="s">
        <v>37</v>
      </c>
      <c r="K13">
        <f>Apple!$C$110</f>
        <v>1.3108297854584462E-3</v>
      </c>
      <c r="R13">
        <f t="shared" si="0"/>
        <v>4.7359362005318668E-3</v>
      </c>
      <c r="S13" s="18">
        <f t="shared" si="1"/>
        <v>1.1830084448876676E-4</v>
      </c>
    </row>
    <row r="14" spans="1:19" x14ac:dyDescent="0.3">
      <c r="A14">
        <f t="shared" si="2"/>
        <v>1</v>
      </c>
      <c r="B14">
        <v>0</v>
      </c>
      <c r="C14">
        <v>0.8</v>
      </c>
      <c r="D14">
        <v>0.1</v>
      </c>
      <c r="E14">
        <v>0.1</v>
      </c>
      <c r="F14">
        <v>0</v>
      </c>
      <c r="G14" s="18">
        <f t="shared" si="3"/>
        <v>4.08694559240991E-3</v>
      </c>
      <c r="H14">
        <f t="shared" si="4"/>
        <v>-6.2612040491447085E-3</v>
      </c>
      <c r="J14" t="s">
        <v>38</v>
      </c>
      <c r="K14">
        <f>Tesla!$C$110</f>
        <v>5.8222266683530645E-3</v>
      </c>
      <c r="R14">
        <f t="shared" si="0"/>
        <v>3.7565892858087719E-3</v>
      </c>
      <c r="S14" s="18">
        <f t="shared" si="1"/>
        <v>1.6517815330056922E-4</v>
      </c>
    </row>
    <row r="15" spans="1:19" x14ac:dyDescent="0.3">
      <c r="A15">
        <f t="shared" si="2"/>
        <v>0.99999999999999989</v>
      </c>
      <c r="B15">
        <v>0</v>
      </c>
      <c r="C15">
        <v>0.7</v>
      </c>
      <c r="D15">
        <v>0.1</v>
      </c>
      <c r="E15">
        <v>0.1</v>
      </c>
      <c r="F15">
        <v>0.1</v>
      </c>
      <c r="G15" s="18">
        <f t="shared" si="3"/>
        <v>3.2332596722139928E-3</v>
      </c>
      <c r="H15">
        <f t="shared" si="4"/>
        <v>-4.5400614809196875E-3</v>
      </c>
      <c r="J15" t="s">
        <v>39</v>
      </c>
      <c r="K15">
        <f>Nike!$C$110</f>
        <v>1.9932599165884139E-3</v>
      </c>
      <c r="R15">
        <f t="shared" si="0"/>
        <v>2.9016638478755988E-3</v>
      </c>
      <c r="S15" s="18">
        <f t="shared" si="1"/>
        <v>1.6579791216919695E-4</v>
      </c>
    </row>
    <row r="16" spans="1:19" x14ac:dyDescent="0.3">
      <c r="A16">
        <f t="shared" si="2"/>
        <v>0.99999999999999989</v>
      </c>
      <c r="B16">
        <v>0.1</v>
      </c>
      <c r="C16">
        <v>0.6</v>
      </c>
      <c r="D16">
        <v>0.1</v>
      </c>
      <c r="E16">
        <v>0.1</v>
      </c>
      <c r="F16">
        <v>0.1</v>
      </c>
      <c r="G16" s="18">
        <f t="shared" si="3"/>
        <v>2.649170977483818E-3</v>
      </c>
      <c r="H16">
        <f t="shared" si="4"/>
        <v>-3.7770449827240092E-3</v>
      </c>
      <c r="J16" t="s">
        <v>40</v>
      </c>
      <c r="K16">
        <f>Walmart!$C$110</f>
        <v>1.0431618896925472E-3</v>
      </c>
      <c r="R16">
        <f t="shared" si="0"/>
        <v>2.1578826788442849E-3</v>
      </c>
      <c r="S16" s="18">
        <f t="shared" si="1"/>
        <v>2.4564414931976662E-4</v>
      </c>
    </row>
    <row r="17" spans="1:19" x14ac:dyDescent="0.3">
      <c r="A17">
        <f t="shared" si="2"/>
        <v>1</v>
      </c>
      <c r="B17">
        <v>0.1</v>
      </c>
      <c r="C17">
        <v>0.5</v>
      </c>
      <c r="D17">
        <v>0.2</v>
      </c>
      <c r="E17">
        <v>0.1</v>
      </c>
      <c r="F17">
        <v>0.1</v>
      </c>
      <c r="G17" s="18">
        <f t="shared" si="3"/>
        <v>2.1483140245922971E-3</v>
      </c>
      <c r="H17">
        <f t="shared" si="4"/>
        <v>-3.2064410804694132E-3</v>
      </c>
      <c r="J17" t="s">
        <v>62</v>
      </c>
      <c r="K17">
        <f>Exxon!$C$110</f>
        <v>1.840856231978777E-3</v>
      </c>
      <c r="R17">
        <f t="shared" si="0"/>
        <v>1.5772355428231005E-3</v>
      </c>
      <c r="S17" s="18">
        <f t="shared" si="1"/>
        <v>2.855392408845982E-4</v>
      </c>
    </row>
    <row r="18" spans="1:19" x14ac:dyDescent="0.3">
      <c r="A18">
        <f t="shared" si="2"/>
        <v>0.99999999999999989</v>
      </c>
      <c r="B18">
        <v>0.1</v>
      </c>
      <c r="C18">
        <v>0.4</v>
      </c>
      <c r="D18">
        <v>0.2</v>
      </c>
      <c r="E18">
        <v>0.2</v>
      </c>
      <c r="F18">
        <v>0.1</v>
      </c>
      <c r="G18" s="18">
        <f t="shared" si="3"/>
        <v>1.6325311967628098E-3</v>
      </c>
      <c r="H18">
        <f t="shared" si="4"/>
        <v>-2.4498375724677948E-3</v>
      </c>
      <c r="R18">
        <f t="shared" si="0"/>
        <v>1.0845299993621014E-3</v>
      </c>
      <c r="S18" s="18">
        <f t="shared" si="1"/>
        <v>2.740005987003542E-4</v>
      </c>
    </row>
    <row r="19" spans="1:19" x14ac:dyDescent="0.3">
      <c r="A19">
        <f t="shared" si="2"/>
        <v>1</v>
      </c>
      <c r="B19">
        <v>0.1</v>
      </c>
      <c r="C19">
        <v>0.3</v>
      </c>
      <c r="D19">
        <v>0.2</v>
      </c>
      <c r="E19">
        <v>0.2</v>
      </c>
      <c r="F19">
        <v>0.2</v>
      </c>
      <c r="G19" s="18">
        <f t="shared" si="3"/>
        <v>1.1835775628552241E-3</v>
      </c>
      <c r="H19">
        <f t="shared" si="4"/>
        <v>-7.2869500424277422E-4</v>
      </c>
      <c r="R19">
        <f t="shared" si="0"/>
        <v>7.3219981953674977E-4</v>
      </c>
      <c r="S19" s="18">
        <f t="shared" si="1"/>
        <v>2.2568887165923721E-4</v>
      </c>
    </row>
    <row r="20" spans="1:19" x14ac:dyDescent="0.3">
      <c r="A20">
        <f t="shared" si="2"/>
        <v>1</v>
      </c>
      <c r="B20">
        <v>0</v>
      </c>
      <c r="C20">
        <v>0</v>
      </c>
      <c r="D20">
        <v>1</v>
      </c>
      <c r="E20">
        <v>0</v>
      </c>
      <c r="F20">
        <v>0</v>
      </c>
      <c r="G20" s="18">
        <f t="shared" si="3"/>
        <v>1.9932599165884139E-3</v>
      </c>
      <c r="H20">
        <f t="shared" si="4"/>
        <v>-1.8823724368549621E-3</v>
      </c>
      <c r="R20">
        <f t="shared" si="0"/>
        <v>1.9932599165884139E-3</v>
      </c>
      <c r="S20" s="18">
        <f t="shared" si="1"/>
        <v>0</v>
      </c>
    </row>
    <row r="21" spans="1:19" x14ac:dyDescent="0.3">
      <c r="A21">
        <f t="shared" si="2"/>
        <v>1</v>
      </c>
      <c r="B21">
        <v>0</v>
      </c>
      <c r="C21">
        <v>0</v>
      </c>
      <c r="D21">
        <v>0.9</v>
      </c>
      <c r="E21">
        <v>0.1</v>
      </c>
      <c r="F21">
        <v>0</v>
      </c>
      <c r="G21" s="18">
        <f t="shared" si="3"/>
        <v>1.6898363516085087E-3</v>
      </c>
      <c r="H21">
        <f t="shared" si="4"/>
        <v>-1.6963728311079397E-3</v>
      </c>
      <c r="J21" s="40" t="s">
        <v>41</v>
      </c>
      <c r="K21" s="41"/>
      <c r="L21" s="42"/>
      <c r="M21" s="13"/>
      <c r="R21">
        <f t="shared" si="0"/>
        <v>1.6249721513335409E-3</v>
      </c>
      <c r="S21" s="18">
        <f t="shared" si="1"/>
        <v>3.2432100137483955E-5</v>
      </c>
    </row>
    <row r="22" spans="1:19" x14ac:dyDescent="0.3">
      <c r="A22">
        <f t="shared" si="2"/>
        <v>1</v>
      </c>
      <c r="B22">
        <v>0</v>
      </c>
      <c r="C22">
        <v>0</v>
      </c>
      <c r="D22">
        <v>0.8</v>
      </c>
      <c r="E22">
        <v>0.1</v>
      </c>
      <c r="F22">
        <v>0.1</v>
      </c>
      <c r="G22" s="18">
        <f t="shared" si="3"/>
        <v>1.372271664090822E-3</v>
      </c>
      <c r="H22">
        <f t="shared" si="4"/>
        <v>-5.4583416513751546E-4</v>
      </c>
      <c r="J22" s="35" t="s">
        <v>42</v>
      </c>
      <c r="K22" s="35"/>
      <c r="L22" s="35"/>
      <c r="M22" s="5">
        <v>0</v>
      </c>
      <c r="R22">
        <f t="shared" si="0"/>
        <v>1.3045265278332984E-3</v>
      </c>
      <c r="S22" s="18">
        <f t="shared" si="1"/>
        <v>3.3872568128761799E-5</v>
      </c>
    </row>
    <row r="23" spans="1:19" x14ac:dyDescent="0.3">
      <c r="A23">
        <f t="shared" si="2"/>
        <v>0.99999999999999989</v>
      </c>
      <c r="B23">
        <v>0.1</v>
      </c>
      <c r="C23">
        <v>0</v>
      </c>
      <c r="D23">
        <v>0.7</v>
      </c>
      <c r="E23">
        <v>0.1</v>
      </c>
      <c r="F23">
        <v>0.1</v>
      </c>
      <c r="G23" s="18">
        <f t="shared" si="3"/>
        <v>1.2000029390253539E-3</v>
      </c>
      <c r="H23">
        <f t="shared" si="4"/>
        <v>-3.5342156919643264E-4</v>
      </c>
      <c r="J23" s="35" t="s">
        <v>43</v>
      </c>
      <c r="K23" s="35"/>
      <c r="L23" s="35"/>
      <c r="M23" s="5">
        <v>0</v>
      </c>
      <c r="R23">
        <f t="shared" si="0"/>
        <v>1.0186458381996205E-3</v>
      </c>
      <c r="S23" s="18">
        <f t="shared" si="1"/>
        <v>9.0678550412866735E-5</v>
      </c>
    </row>
    <row r="24" spans="1:19" x14ac:dyDescent="0.3">
      <c r="A24">
        <f t="shared" si="2"/>
        <v>1</v>
      </c>
      <c r="B24">
        <v>0.1</v>
      </c>
      <c r="C24">
        <v>0.1</v>
      </c>
      <c r="D24">
        <v>0.6</v>
      </c>
      <c r="E24">
        <v>0.1</v>
      </c>
      <c r="F24">
        <v>0.1</v>
      </c>
      <c r="G24" s="18">
        <f t="shared" si="3"/>
        <v>1.1822019989533204E-3</v>
      </c>
      <c r="H24">
        <f t="shared" si="4"/>
        <v>-9.2402547145102902E-4</v>
      </c>
      <c r="J24" s="35" t="s">
        <v>44</v>
      </c>
      <c r="K24" s="35"/>
      <c r="L24" s="35"/>
      <c r="M24" s="5">
        <v>0</v>
      </c>
      <c r="R24">
        <f t="shared" si="0"/>
        <v>8.177443157266573E-4</v>
      </c>
      <c r="S24" s="18">
        <f t="shared" si="1"/>
        <v>1.8222884161333156E-4</v>
      </c>
    </row>
    <row r="25" spans="1:19" x14ac:dyDescent="0.3">
      <c r="A25">
        <f t="shared" si="2"/>
        <v>0.99999999999999989</v>
      </c>
      <c r="B25">
        <v>0.1</v>
      </c>
      <c r="C25">
        <v>0.1</v>
      </c>
      <c r="D25">
        <v>0.5</v>
      </c>
      <c r="E25">
        <v>0.2</v>
      </c>
      <c r="F25">
        <v>0.1</v>
      </c>
      <c r="G25" s="18">
        <f t="shared" si="3"/>
        <v>1.0021238698733807E-3</v>
      </c>
      <c r="H25">
        <f t="shared" si="4"/>
        <v>-7.3802586570400632E-4</v>
      </c>
      <c r="J25" s="35" t="s">
        <v>45</v>
      </c>
      <c r="K25" s="35"/>
      <c r="L25" s="35"/>
      <c r="M25" s="5">
        <v>1.1111020622550011E-2</v>
      </c>
      <c r="R25">
        <f t="shared" si="0"/>
        <v>6.2978058159270827E-4</v>
      </c>
      <c r="S25" s="18">
        <f t="shared" si="1"/>
        <v>1.8617164414033621E-4</v>
      </c>
    </row>
    <row r="26" spans="1:19" x14ac:dyDescent="0.3">
      <c r="A26">
        <f t="shared" si="2"/>
        <v>1</v>
      </c>
      <c r="B26">
        <v>0.1</v>
      </c>
      <c r="C26">
        <v>0.1</v>
      </c>
      <c r="D26">
        <v>0.4</v>
      </c>
      <c r="E26">
        <v>0.2</v>
      </c>
      <c r="F26">
        <v>0.2</v>
      </c>
      <c r="G26" s="18">
        <f t="shared" si="3"/>
        <v>8.3087246233219214E-4</v>
      </c>
      <c r="H26">
        <f t="shared" si="4"/>
        <v>4.1251280026641788E-4</v>
      </c>
      <c r="J26" s="35" t="s">
        <v>66</v>
      </c>
      <c r="K26" s="35"/>
      <c r="L26" s="35"/>
      <c r="M26" s="5">
        <v>0.98888897937751263</v>
      </c>
      <c r="R26">
        <f t="shared" si="0"/>
        <v>5.0561287605911437E-4</v>
      </c>
      <c r="S26" s="18">
        <f t="shared" si="1"/>
        <v>1.6262979313653891E-4</v>
      </c>
    </row>
    <row r="27" spans="1:19" x14ac:dyDescent="0.3">
      <c r="A27">
        <f t="shared" si="2"/>
        <v>1</v>
      </c>
      <c r="B27">
        <v>0.2</v>
      </c>
      <c r="C27">
        <v>0.1</v>
      </c>
      <c r="D27">
        <v>0.3</v>
      </c>
      <c r="E27">
        <v>0.2</v>
      </c>
      <c r="F27">
        <v>0.2</v>
      </c>
      <c r="G27" s="18">
        <f t="shared" si="3"/>
        <v>7.6856992402091705E-4</v>
      </c>
      <c r="H27">
        <f t="shared" si="4"/>
        <v>6.049253962075007E-4</v>
      </c>
      <c r="J27" s="35" t="s">
        <v>46</v>
      </c>
      <c r="K27" s="35"/>
      <c r="L27" s="35"/>
      <c r="M27" s="5">
        <f>SUM(M22:M26)</f>
        <v>1.0000000000000626</v>
      </c>
      <c r="R27">
        <f t="shared" si="0"/>
        <v>4.0540957546167871E-4</v>
      </c>
      <c r="S27" s="18">
        <f t="shared" si="1"/>
        <v>1.8158017427961914E-4</v>
      </c>
    </row>
    <row r="28" spans="1:19" x14ac:dyDescent="0.3">
      <c r="A28">
        <f t="shared" si="2"/>
        <v>1</v>
      </c>
      <c r="B28">
        <v>0</v>
      </c>
      <c r="C28">
        <v>0</v>
      </c>
      <c r="D28">
        <v>0</v>
      </c>
      <c r="E28">
        <v>1</v>
      </c>
      <c r="F28">
        <v>0</v>
      </c>
      <c r="G28" s="18">
        <f t="shared" si="3"/>
        <v>1.0431618896925472E-3</v>
      </c>
      <c r="H28">
        <f t="shared" si="4"/>
        <v>-2.2376379384736467E-5</v>
      </c>
      <c r="R28">
        <f t="shared" si="0"/>
        <v>1.0431618896925472E-3</v>
      </c>
      <c r="S28" s="18">
        <f t="shared" si="1"/>
        <v>0</v>
      </c>
    </row>
    <row r="29" spans="1:19" x14ac:dyDescent="0.3">
      <c r="A29">
        <f t="shared" si="2"/>
        <v>1</v>
      </c>
      <c r="B29">
        <v>0</v>
      </c>
      <c r="C29">
        <v>0</v>
      </c>
      <c r="D29">
        <v>0</v>
      </c>
      <c r="E29">
        <v>0.9</v>
      </c>
      <c r="F29">
        <v>0.1</v>
      </c>
      <c r="G29" s="18">
        <f t="shared" si="3"/>
        <v>8.6087427137768082E-4</v>
      </c>
      <c r="H29">
        <f t="shared" si="4"/>
        <v>9.4216268083866515E-4</v>
      </c>
      <c r="J29" s="43" t="s">
        <v>47</v>
      </c>
      <c r="K29" s="44"/>
      <c r="L29" s="45"/>
      <c r="M29" s="5">
        <f>(M22^2)*N3+(M23^2)*N4+(M24^2)*N5+(M25^2)*N6+(M26^2)*N7</f>
        <v>9.4103564485139932E-3</v>
      </c>
      <c r="R29">
        <f t="shared" si="0"/>
        <v>8.633696929707511E-4</v>
      </c>
      <c r="S29" s="18">
        <f t="shared" si="1"/>
        <v>-1.2477107965351422E-6</v>
      </c>
    </row>
    <row r="30" spans="1:19" x14ac:dyDescent="0.3">
      <c r="A30">
        <f t="shared" si="2"/>
        <v>1</v>
      </c>
      <c r="B30">
        <v>0.1</v>
      </c>
      <c r="C30">
        <v>0</v>
      </c>
      <c r="D30">
        <v>0</v>
      </c>
      <c r="E30">
        <v>0.8</v>
      </c>
      <c r="F30">
        <v>0.1</v>
      </c>
      <c r="G30" s="18">
        <f t="shared" si="3"/>
        <v>7.6873868320564802E-4</v>
      </c>
      <c r="H30">
        <f t="shared" si="4"/>
        <v>9.4857567103272537E-4</v>
      </c>
      <c r="J30" s="43" t="s">
        <v>48</v>
      </c>
      <c r="K30" s="44"/>
      <c r="L30" s="45"/>
      <c r="M30" s="5">
        <f>(M22^2)*$K$13+(M23^2)*$K$14+(M24^2)*$K$15+(M25^2)*$K$16+(M26^2)*$K$17+2*(M22*M23*K3+M22*M24*K4+M22*M25*K5+M22*M26*K6+M23*M24*K7+M23*M25*K8+M23*M26*K9+M24*M25*K10+M24*M26*K11+M25*M26*K12)</f>
        <v>1.8000000434745243E-3</v>
      </c>
      <c r="R30">
        <f t="shared" si="0"/>
        <v>6.9914046957760261E-4</v>
      </c>
      <c r="S30" s="18">
        <f t="shared" si="1"/>
        <v>3.4799106814022684E-5</v>
      </c>
    </row>
    <row r="31" spans="1:19" x14ac:dyDescent="0.3">
      <c r="A31">
        <f t="shared" si="2"/>
        <v>0.99999999999999989</v>
      </c>
      <c r="B31">
        <v>0.1</v>
      </c>
      <c r="C31">
        <v>0.1</v>
      </c>
      <c r="D31">
        <v>0</v>
      </c>
      <c r="E31">
        <v>0.7</v>
      </c>
      <c r="F31">
        <v>0.1</v>
      </c>
      <c r="G31" s="18">
        <f t="shared" si="3"/>
        <v>7.9644576544140981E-4</v>
      </c>
      <c r="H31">
        <f t="shared" si="4"/>
        <v>1.9197216303110662E-4</v>
      </c>
      <c r="R31">
        <f t="shared" si="0"/>
        <v>6.0088845280725095E-4</v>
      </c>
      <c r="S31" s="18">
        <f t="shared" si="1"/>
        <v>9.7778656317079444E-5</v>
      </c>
    </row>
    <row r="32" spans="1:19" x14ac:dyDescent="0.3">
      <c r="A32">
        <f t="shared" si="2"/>
        <v>1</v>
      </c>
      <c r="B32">
        <v>0.1</v>
      </c>
      <c r="C32">
        <v>0.1</v>
      </c>
      <c r="D32">
        <v>0.1</v>
      </c>
      <c r="E32">
        <v>0.6</v>
      </c>
      <c r="F32">
        <v>0.1</v>
      </c>
      <c r="G32" s="18">
        <f t="shared" si="3"/>
        <v>7.4495304753210696E-4</v>
      </c>
      <c r="H32">
        <f t="shared" si="4"/>
        <v>5.9725572840840357E-6</v>
      </c>
      <c r="R32">
        <f t="shared" si="0"/>
        <v>4.8521000631310398E-4</v>
      </c>
      <c r="S32" s="18">
        <f t="shared" si="1"/>
        <v>1.2987152060950146E-4</v>
      </c>
    </row>
    <row r="33" spans="1:19" x14ac:dyDescent="0.3">
      <c r="A33">
        <f t="shared" si="2"/>
        <v>1</v>
      </c>
      <c r="B33">
        <v>0.1</v>
      </c>
      <c r="C33">
        <v>0.1</v>
      </c>
      <c r="D33">
        <v>0.1</v>
      </c>
      <c r="E33">
        <v>0.5</v>
      </c>
      <c r="F33">
        <v>0.2</v>
      </c>
      <c r="G33" s="18">
        <f t="shared" si="3"/>
        <v>6.6177847728079607E-4</v>
      </c>
      <c r="H33">
        <f t="shared" si="4"/>
        <v>9.7051161750748565E-4</v>
      </c>
      <c r="J33" s="46" t="s">
        <v>49</v>
      </c>
      <c r="K33" s="47"/>
      <c r="L33" s="47"/>
      <c r="M33" s="48"/>
      <c r="R33">
        <f t="shared" si="0"/>
        <v>4.2568788540628714E-4</v>
      </c>
      <c r="S33" s="18">
        <f t="shared" si="1"/>
        <v>1.1804529593725446E-4</v>
      </c>
    </row>
    <row r="34" spans="1:19" x14ac:dyDescent="0.3">
      <c r="A34">
        <f t="shared" si="2"/>
        <v>1</v>
      </c>
      <c r="B34">
        <v>0.2</v>
      </c>
      <c r="C34">
        <v>0.1</v>
      </c>
      <c r="D34">
        <v>0.1</v>
      </c>
      <c r="E34">
        <v>0.4</v>
      </c>
      <c r="F34">
        <v>0.2</v>
      </c>
      <c r="G34" s="18">
        <f t="shared" si="3"/>
        <v>6.6047159002597462E-4</v>
      </c>
      <c r="H34">
        <f t="shared" si="4"/>
        <v>9.7692460770154588E-4</v>
      </c>
      <c r="J34" s="32" t="s">
        <v>50</v>
      </c>
      <c r="K34" s="33"/>
      <c r="L34" s="34"/>
      <c r="M34" s="5">
        <v>9.4103564485139932E-3</v>
      </c>
      <c r="R34">
        <f t="shared" si="0"/>
        <v>3.7112820889771133E-4</v>
      </c>
      <c r="S34" s="18">
        <f t="shared" si="1"/>
        <v>1.4467169056413167E-4</v>
      </c>
    </row>
    <row r="35" spans="1:19" x14ac:dyDescent="0.3">
      <c r="A35">
        <f t="shared" si="2"/>
        <v>1</v>
      </c>
      <c r="B35">
        <v>0.2</v>
      </c>
      <c r="C35">
        <v>0.2</v>
      </c>
      <c r="D35">
        <v>0.1</v>
      </c>
      <c r="E35">
        <v>0.3</v>
      </c>
      <c r="F35">
        <v>0.2</v>
      </c>
      <c r="G35" s="18">
        <f t="shared" si="3"/>
        <v>8.6386235778032117E-4</v>
      </c>
      <c r="H35">
        <f t="shared" si="4"/>
        <v>2.2032109969992702E-4</v>
      </c>
      <c r="J35" s="32" t="s">
        <v>51</v>
      </c>
      <c r="K35" s="33"/>
      <c r="L35" s="34"/>
      <c r="M35" s="5">
        <v>1.8000000434745243E-3</v>
      </c>
      <c r="R35">
        <f t="shared" si="0"/>
        <v>4.7277367666982489E-4</v>
      </c>
      <c r="S35" s="18">
        <f t="shared" si="1"/>
        <v>1.9554434055524812E-4</v>
      </c>
    </row>
    <row r="36" spans="1:19" x14ac:dyDescent="0.3">
      <c r="A36">
        <f t="shared" si="2"/>
        <v>1</v>
      </c>
      <c r="B36">
        <v>0</v>
      </c>
      <c r="C36">
        <v>0</v>
      </c>
      <c r="D36">
        <v>0</v>
      </c>
      <c r="E36">
        <v>0</v>
      </c>
      <c r="F36">
        <v>1</v>
      </c>
      <c r="G36" s="18">
        <f t="shared" si="3"/>
        <v>1.840856231978777E-3</v>
      </c>
      <c r="H36">
        <f t="shared" si="4"/>
        <v>9.6230142228492799E-3</v>
      </c>
      <c r="J36" s="14"/>
      <c r="K36" s="15"/>
      <c r="L36" s="15"/>
      <c r="M36" s="16"/>
      <c r="R36">
        <f t="shared" si="0"/>
        <v>1.840856231978777E-3</v>
      </c>
      <c r="S36" s="18">
        <f t="shared" si="1"/>
        <v>0</v>
      </c>
    </row>
    <row r="37" spans="1:19" x14ac:dyDescent="0.3">
      <c r="A37">
        <f t="shared" si="2"/>
        <v>1</v>
      </c>
      <c r="B37">
        <v>0.1</v>
      </c>
      <c r="C37">
        <v>0</v>
      </c>
      <c r="D37">
        <v>0</v>
      </c>
      <c r="E37">
        <v>0</v>
      </c>
      <c r="F37">
        <v>0.9</v>
      </c>
      <c r="G37" s="18">
        <f t="shared" si="3"/>
        <v>1.5093826409697171E-3</v>
      </c>
      <c r="H37">
        <f t="shared" si="4"/>
        <v>8.6648881528199381E-3</v>
      </c>
      <c r="J37" s="29" t="s">
        <v>52</v>
      </c>
      <c r="K37" s="30"/>
      <c r="L37" s="30"/>
      <c r="M37" s="31"/>
      <c r="R37">
        <f t="shared" si="0"/>
        <v>1.504201845757394E-3</v>
      </c>
      <c r="S37" s="18">
        <f t="shared" si="1"/>
        <v>2.5903976061615006E-6</v>
      </c>
    </row>
    <row r="38" spans="1:19" x14ac:dyDescent="0.3">
      <c r="A38">
        <f t="shared" si="2"/>
        <v>1</v>
      </c>
      <c r="B38">
        <v>0.1</v>
      </c>
      <c r="C38">
        <v>0.1</v>
      </c>
      <c r="D38">
        <v>0</v>
      </c>
      <c r="E38">
        <v>0</v>
      </c>
      <c r="F38">
        <v>0.8</v>
      </c>
      <c r="G38" s="18">
        <f t="shared" si="3"/>
        <v>1.3305533999700197E-3</v>
      </c>
      <c r="H38">
        <f t="shared" si="4"/>
        <v>6.9437455845949179E-3</v>
      </c>
      <c r="J38" s="32" t="s">
        <v>53</v>
      </c>
      <c r="K38" s="33"/>
      <c r="L38" s="34"/>
      <c r="M38" s="5">
        <v>5.9999997194354528E-3</v>
      </c>
      <c r="R38">
        <f t="shared" si="0"/>
        <v>1.2494785530045326E-3</v>
      </c>
      <c r="S38" s="18">
        <f t="shared" si="1"/>
        <v>4.0537423482743564E-5</v>
      </c>
    </row>
    <row r="39" spans="1:19" x14ac:dyDescent="0.3">
      <c r="A39">
        <f t="shared" si="2"/>
        <v>1</v>
      </c>
      <c r="B39">
        <v>0.1</v>
      </c>
      <c r="C39">
        <v>0.1</v>
      </c>
      <c r="D39">
        <v>0.1</v>
      </c>
      <c r="E39">
        <v>0</v>
      </c>
      <c r="F39">
        <v>0.7</v>
      </c>
      <c r="G39" s="18">
        <f t="shared" si="3"/>
        <v>1.1194291345025397E-3</v>
      </c>
      <c r="H39">
        <f t="shared" si="4"/>
        <v>5.7932069186244937E-3</v>
      </c>
      <c r="J39" s="32" t="s">
        <v>54</v>
      </c>
      <c r="K39" s="33"/>
      <c r="L39" s="34"/>
      <c r="M39" s="5">
        <v>1.183470073398616E-3</v>
      </c>
      <c r="R39">
        <f t="shared" si="0"/>
        <v>9.9328271737359982E-4</v>
      </c>
      <c r="S39" s="18">
        <f t="shared" si="1"/>
        <v>6.3073208564469932E-5</v>
      </c>
    </row>
    <row r="40" spans="1:19" x14ac:dyDescent="0.3">
      <c r="A40">
        <f t="shared" si="2"/>
        <v>1</v>
      </c>
      <c r="B40">
        <v>0.1</v>
      </c>
      <c r="C40">
        <v>0.1</v>
      </c>
      <c r="D40">
        <v>0.1</v>
      </c>
      <c r="E40">
        <v>0.1</v>
      </c>
      <c r="F40">
        <v>0.6</v>
      </c>
      <c r="G40" s="18">
        <f t="shared" si="3"/>
        <v>9.1142920192775138E-4</v>
      </c>
      <c r="H40">
        <f t="shared" si="4"/>
        <v>4.8286678584010924E-3</v>
      </c>
      <c r="R40">
        <f t="shared" si="0"/>
        <v>7.6440302611328447E-4</v>
      </c>
      <c r="S40" s="18">
        <f t="shared" si="1"/>
        <v>7.3513087907233439E-5</v>
      </c>
    </row>
    <row r="41" spans="1:19" x14ac:dyDescent="0.3">
      <c r="A41">
        <f t="shared" si="2"/>
        <v>1</v>
      </c>
      <c r="B41">
        <v>0.2</v>
      </c>
      <c r="C41">
        <v>0.1</v>
      </c>
      <c r="D41">
        <v>0.1</v>
      </c>
      <c r="E41">
        <v>0.1</v>
      </c>
      <c r="F41">
        <v>0.5</v>
      </c>
      <c r="G41" s="18">
        <f t="shared" si="3"/>
        <v>7.9879046413901819E-4</v>
      </c>
      <c r="H41">
        <f t="shared" si="4"/>
        <v>3.8705417883717506E-3</v>
      </c>
      <c r="R41">
        <f t="shared" si="0"/>
        <v>6.0123373415937236E-4</v>
      </c>
      <c r="S41" s="18">
        <f t="shared" si="1"/>
        <v>9.877836498982292E-5</v>
      </c>
    </row>
    <row r="42" spans="1:19" x14ac:dyDescent="0.3">
      <c r="A42">
        <f t="shared" si="2"/>
        <v>1</v>
      </c>
      <c r="B42">
        <v>0.2</v>
      </c>
      <c r="C42">
        <v>0.2</v>
      </c>
      <c r="D42">
        <v>0.1</v>
      </c>
      <c r="E42">
        <v>0.1</v>
      </c>
      <c r="F42">
        <v>0.4</v>
      </c>
      <c r="G42" s="18">
        <f t="shared" si="3"/>
        <v>9.2351613237522134E-4</v>
      </c>
      <c r="H42">
        <f t="shared" si="4"/>
        <v>2.1493992201467305E-3</v>
      </c>
      <c r="R42">
        <f t="shared" si="0"/>
        <v>6.1022347333187447E-4</v>
      </c>
      <c r="S42" s="18">
        <f t="shared" si="1"/>
        <v>1.5664632952167346E-4</v>
      </c>
    </row>
    <row r="43" spans="1:19" x14ac:dyDescent="0.3">
      <c r="A43">
        <f t="shared" si="2"/>
        <v>1</v>
      </c>
      <c r="B43">
        <v>0.2</v>
      </c>
      <c r="C43">
        <v>0.2</v>
      </c>
      <c r="D43">
        <v>0.2</v>
      </c>
      <c r="E43">
        <v>0.1</v>
      </c>
      <c r="F43">
        <v>0.3</v>
      </c>
      <c r="G43" s="18">
        <f t="shared" si="3"/>
        <v>9.3653352877254043E-4</v>
      </c>
      <c r="H43">
        <f t="shared" si="4"/>
        <v>9.9886055417630604E-4</v>
      </c>
      <c r="R43">
        <f t="shared" si="0"/>
        <v>5.4116133459101252E-4</v>
      </c>
      <c r="S43" s="18">
        <f t="shared" si="1"/>
        <v>1.9768609709076395E-4</v>
      </c>
    </row>
    <row r="44" spans="1:19" x14ac:dyDescent="0.3">
      <c r="A44">
        <f t="shared" si="2"/>
        <v>1.0000000000000002</v>
      </c>
      <c r="B44">
        <v>0.20557251632054641</v>
      </c>
      <c r="C44">
        <v>0.2725078736831944</v>
      </c>
      <c r="D44">
        <v>3.7528206489604331E-2</v>
      </c>
      <c r="E44">
        <v>0.31652809788707753</v>
      </c>
      <c r="F44">
        <v>0.16786330561957744</v>
      </c>
      <c r="G44" s="18">
        <f>R44+2*S44</f>
        <v>1.0706435553148963E-3</v>
      </c>
      <c r="H44">
        <f t="shared" ref="H44:H103" si="6">B44*$N$3+C44*$N$4+D44*$N$5+E44*$N$6+F44*$N$7</f>
        <v>-5.2169233157066982E-4</v>
      </c>
      <c r="R44">
        <f t="shared" ref="R44:R103" si="7">(B44^2)*$K$13+(C44^2)*$K$14+(D44^2)*$K$15+(E44^2)*$K$16+(F44^2)*K$17</f>
        <v>6.469509277308511E-4</v>
      </c>
      <c r="S44" s="18">
        <f t="shared" ref="S44:S103" si="8">B44*C44*$K$3+B44*D44*$K$4+B44*E44*$K$5+B44*F44*$K$6+C44*D44*$K$7+C44*E44*$K$8+C44*F44*$K$9+D44*E44*$K$10+D44*F44*$K$11+E44*F44*$K$12</f>
        <v>2.1184631379202258E-4</v>
      </c>
    </row>
    <row r="45" spans="1:19" x14ac:dyDescent="0.3">
      <c r="A45">
        <f t="shared" si="2"/>
        <v>0.99999999999999989</v>
      </c>
      <c r="B45">
        <v>0.16419247292209194</v>
      </c>
      <c r="C45">
        <v>2.2226276766906068E-3</v>
      </c>
      <c r="D45">
        <v>0.34976529715205096</v>
      </c>
      <c r="E45">
        <v>0.40244489044435966</v>
      </c>
      <c r="F45">
        <v>8.1374711804806835E-2</v>
      </c>
      <c r="G45" s="18">
        <f t="shared" ref="G45:G103" si="9">R45+2*S45</f>
        <v>7.2111104818948276E-4</v>
      </c>
      <c r="H45">
        <f t="shared" si="6"/>
        <v>1.0566559559035461E-4</v>
      </c>
      <c r="R45">
        <f t="shared" si="7"/>
        <v>4.6035694913675772E-4</v>
      </c>
      <c r="S45" s="18">
        <f t="shared" si="8"/>
        <v>1.3037704952636255E-4</v>
      </c>
    </row>
    <row r="46" spans="1:19" x14ac:dyDescent="0.3">
      <c r="A46">
        <f t="shared" si="2"/>
        <v>1</v>
      </c>
      <c r="B46">
        <v>2.8303424113417391E-2</v>
      </c>
      <c r="C46">
        <v>0.16730491108712034</v>
      </c>
      <c r="D46">
        <v>0.3187929032652313</v>
      </c>
      <c r="E46">
        <v>0.29276067871183264</v>
      </c>
      <c r="F46">
        <v>0.19283808282239831</v>
      </c>
      <c r="G46" s="18">
        <f t="shared" si="9"/>
        <v>8.6258035129649737E-4</v>
      </c>
      <c r="H46">
        <f t="shared" si="6"/>
        <v>-1.9351021330733104E-5</v>
      </c>
      <c r="R46">
        <f t="shared" si="7"/>
        <v>5.2445570358063912E-4</v>
      </c>
      <c r="S46" s="18">
        <f t="shared" si="8"/>
        <v>1.6906232385792912E-4</v>
      </c>
    </row>
    <row r="47" spans="1:19" x14ac:dyDescent="0.3">
      <c r="A47">
        <f t="shared" si="2"/>
        <v>1</v>
      </c>
      <c r="B47">
        <v>0.19704300296472269</v>
      </c>
      <c r="C47">
        <v>0.28764570115208932</v>
      </c>
      <c r="D47">
        <v>0.22305916891193711</v>
      </c>
      <c r="E47">
        <v>3.1646241948411896E-2</v>
      </c>
      <c r="F47">
        <v>0.26060588502283899</v>
      </c>
      <c r="G47" s="18">
        <f t="shared" si="9"/>
        <v>1.2448336282117607E-3</v>
      </c>
      <c r="H47">
        <f t="shared" si="6"/>
        <v>-8.7321116931705651E-5</v>
      </c>
      <c r="R47">
        <f t="shared" si="7"/>
        <v>7.5786820566452954E-4</v>
      </c>
      <c r="S47" s="18">
        <f t="shared" si="8"/>
        <v>2.4348271127361563E-4</v>
      </c>
    </row>
    <row r="48" spans="1:19" x14ac:dyDescent="0.3">
      <c r="A48">
        <f t="shared" si="2"/>
        <v>1</v>
      </c>
      <c r="B48">
        <v>0.2597037700887721</v>
      </c>
      <c r="C48">
        <v>0.1878383451817224</v>
      </c>
      <c r="D48">
        <v>0.25166220585919996</v>
      </c>
      <c r="E48">
        <v>5.6521054607549873E-2</v>
      </c>
      <c r="F48">
        <v>0.24427462426275573</v>
      </c>
      <c r="G48" s="18">
        <f t="shared" si="9"/>
        <v>9.8545108479393927E-4</v>
      </c>
      <c r="H48">
        <f t="shared" si="6"/>
        <v>4.6112034342341728E-4</v>
      </c>
      <c r="R48">
        <f t="shared" si="7"/>
        <v>5.3325476546155161E-4</v>
      </c>
      <c r="S48" s="18">
        <f t="shared" si="8"/>
        <v>2.260981596661938E-4</v>
      </c>
    </row>
    <row r="49" spans="1:19" x14ac:dyDescent="0.3">
      <c r="A49">
        <f t="shared" si="2"/>
        <v>1</v>
      </c>
      <c r="B49">
        <v>0.26833178198365915</v>
      </c>
      <c r="C49">
        <v>7.0565725514530983E-2</v>
      </c>
      <c r="D49">
        <v>0.14486503257834318</v>
      </c>
      <c r="E49">
        <v>0.3224738856138174</v>
      </c>
      <c r="F49">
        <v>0.19376357430964941</v>
      </c>
      <c r="G49" s="18">
        <f t="shared" si="9"/>
        <v>6.4477263415819151E-4</v>
      </c>
      <c r="H49">
        <f t="shared" si="6"/>
        <v>1.0604059260322385E-3</v>
      </c>
      <c r="R49">
        <f t="shared" si="7"/>
        <v>3.427959934113571E-4</v>
      </c>
      <c r="S49" s="18">
        <f t="shared" si="8"/>
        <v>1.5098832037341721E-4</v>
      </c>
    </row>
    <row r="50" spans="1:19" x14ac:dyDescent="0.3">
      <c r="A50">
        <f t="shared" si="2"/>
        <v>1</v>
      </c>
      <c r="B50">
        <v>0.16611011319935864</v>
      </c>
      <c r="C50">
        <v>0.15259611095707104</v>
      </c>
      <c r="D50">
        <v>0.21022049161553205</v>
      </c>
      <c r="E50">
        <v>0.28679581921857483</v>
      </c>
      <c r="F50">
        <v>0.18427746500946343</v>
      </c>
      <c r="G50" s="18">
        <f t="shared" si="9"/>
        <v>7.9407623400829072E-4</v>
      </c>
      <c r="H50">
        <f t="shared" si="6"/>
        <v>2.2014756091228273E-4</v>
      </c>
      <c r="R50">
        <f t="shared" si="7"/>
        <v>4.081446165031982E-4</v>
      </c>
      <c r="S50" s="18">
        <f t="shared" si="8"/>
        <v>1.9296580875254624E-4</v>
      </c>
    </row>
    <row r="51" spans="1:19" x14ac:dyDescent="0.3">
      <c r="A51">
        <f t="shared" si="2"/>
        <v>1</v>
      </c>
      <c r="B51">
        <v>5.3276385298415198E-2</v>
      </c>
      <c r="C51">
        <v>0.17612678430931775</v>
      </c>
      <c r="D51">
        <v>0.12911967829355714</v>
      </c>
      <c r="E51">
        <v>0.33722977782773222</v>
      </c>
      <c r="F51">
        <v>0.30424737427097776</v>
      </c>
      <c r="G51" s="18">
        <f t="shared" si="9"/>
        <v>7.7107398265858541E-4</v>
      </c>
      <c r="H51">
        <f t="shared" si="6"/>
        <v>1.342881473345282E-3</v>
      </c>
      <c r="R51">
        <f t="shared" si="7"/>
        <v>5.0659527451084113E-4</v>
      </c>
      <c r="S51" s="18">
        <f t="shared" si="8"/>
        <v>1.3223935407387214E-4</v>
      </c>
    </row>
    <row r="52" spans="1:19" x14ac:dyDescent="0.3">
      <c r="A52">
        <f t="shared" si="2"/>
        <v>1</v>
      </c>
      <c r="B52">
        <v>0.10450948846048908</v>
      </c>
      <c r="C52">
        <v>0.2849737032750948</v>
      </c>
      <c r="D52">
        <v>7.8071636230206909E-2</v>
      </c>
      <c r="E52">
        <v>0.28042940340775452</v>
      </c>
      <c r="F52">
        <v>0.25201576862645481</v>
      </c>
      <c r="G52" s="18">
        <f t="shared" si="9"/>
        <v>1.0577327677174474E-3</v>
      </c>
      <c r="H52">
        <f t="shared" si="6"/>
        <v>1.1378235873656106E-4</v>
      </c>
      <c r="R52">
        <f t="shared" si="7"/>
        <v>6.9824085632963777E-4</v>
      </c>
      <c r="S52" s="18">
        <f t="shared" si="8"/>
        <v>1.797459556939048E-4</v>
      </c>
    </row>
    <row r="53" spans="1:19" x14ac:dyDescent="0.3">
      <c r="A53">
        <f t="shared" si="2"/>
        <v>1</v>
      </c>
      <c r="B53">
        <v>0.22108118821693135</v>
      </c>
      <c r="C53">
        <v>0.1081188216931348</v>
      </c>
      <c r="D53">
        <v>5.0838639347917651E-2</v>
      </c>
      <c r="E53">
        <v>0.31450833684314844</v>
      </c>
      <c r="F53">
        <v>0.30545301389886781</v>
      </c>
      <c r="G53" s="18">
        <f t="shared" si="9"/>
        <v>6.6039218775093469E-4</v>
      </c>
      <c r="H53">
        <f t="shared" si="6"/>
        <v>2.0254246987261725E-3</v>
      </c>
      <c r="R53">
        <f t="shared" si="7"/>
        <v>4.1222056596522914E-4</v>
      </c>
      <c r="S53" s="18">
        <f t="shared" si="8"/>
        <v>1.240858108928528E-4</v>
      </c>
    </row>
    <row r="54" spans="1:19" x14ac:dyDescent="0.3">
      <c r="A54">
        <f t="shared" si="2"/>
        <v>1</v>
      </c>
      <c r="B54">
        <v>0.28641139332016002</v>
      </c>
      <c r="C54">
        <v>0.21055231577425421</v>
      </c>
      <c r="D54">
        <v>3.7616270663646444E-2</v>
      </c>
      <c r="E54">
        <v>0.18009301653091717</v>
      </c>
      <c r="F54">
        <v>0.28532700371102221</v>
      </c>
      <c r="G54" s="18">
        <f t="shared" si="9"/>
        <v>9.1537745290924341E-4</v>
      </c>
      <c r="H54">
        <f t="shared" si="6"/>
        <v>1.0850692328836719E-3</v>
      </c>
      <c r="R54">
        <f t="shared" si="7"/>
        <v>5.5216256627522314E-4</v>
      </c>
      <c r="S54" s="18">
        <f t="shared" si="8"/>
        <v>1.8160744331701013E-4</v>
      </c>
    </row>
    <row r="55" spans="1:19" x14ac:dyDescent="0.3">
      <c r="A55">
        <f t="shared" si="2"/>
        <v>1</v>
      </c>
      <c r="B55">
        <v>0.23065692296939433</v>
      </c>
      <c r="C55">
        <v>0.20685424060512397</v>
      </c>
      <c r="D55">
        <v>0.25386939200260933</v>
      </c>
      <c r="E55">
        <v>0.10190499118562986</v>
      </c>
      <c r="F55">
        <v>0.20671445323724244</v>
      </c>
      <c r="G55" s="18">
        <f t="shared" si="9"/>
        <v>1.0155669299288139E-3</v>
      </c>
      <c r="H55">
        <f t="shared" si="6"/>
        <v>-5.1005238038040468E-5</v>
      </c>
      <c r="R55">
        <f t="shared" si="7"/>
        <v>5.3682411643736646E-4</v>
      </c>
      <c r="S55" s="18">
        <f t="shared" si="8"/>
        <v>2.3937140674572369E-4</v>
      </c>
    </row>
    <row r="56" spans="1:19" x14ac:dyDescent="0.3">
      <c r="A56">
        <f t="shared" si="2"/>
        <v>0.99999999999999978</v>
      </c>
      <c r="B56">
        <v>0.18750096574315867</v>
      </c>
      <c r="C56">
        <v>0.22512631920515472</v>
      </c>
      <c r="D56">
        <v>0.21943229754160418</v>
      </c>
      <c r="E56">
        <v>0.12446497829009379</v>
      </c>
      <c r="F56">
        <v>0.24347543921998852</v>
      </c>
      <c r="G56" s="18">
        <f t="shared" si="9"/>
        <v>1.0058569974160242E-3</v>
      </c>
      <c r="H56">
        <f t="shared" si="6"/>
        <v>2.2660691563927736E-4</v>
      </c>
      <c r="R56">
        <f t="shared" si="7"/>
        <v>5.6242880165594802E-4</v>
      </c>
      <c r="S56" s="18">
        <f t="shared" si="8"/>
        <v>2.2171409788003814E-4</v>
      </c>
    </row>
    <row r="57" spans="1:19" x14ac:dyDescent="0.3">
      <c r="A57">
        <f t="shared" si="2"/>
        <v>1</v>
      </c>
      <c r="B57">
        <v>0.36691973341060558</v>
      </c>
      <c r="C57">
        <v>0.32783541002607935</v>
      </c>
      <c r="D57">
        <v>0.18242828165749056</v>
      </c>
      <c r="E57">
        <v>3.3346855983772815E-2</v>
      </c>
      <c r="F57">
        <v>8.9469718922051564E-2</v>
      </c>
      <c r="G57" s="18">
        <f t="shared" si="9"/>
        <v>1.5625322554311235E-3</v>
      </c>
      <c r="H57">
        <f t="shared" si="6"/>
        <v>-1.9556055641685747E-3</v>
      </c>
      <c r="R57">
        <f t="shared" si="7"/>
        <v>8.8445868991466768E-4</v>
      </c>
      <c r="S57" s="18">
        <f t="shared" si="8"/>
        <v>3.3903678275822783E-4</v>
      </c>
    </row>
    <row r="58" spans="1:19" x14ac:dyDescent="0.3">
      <c r="A58">
        <f t="shared" si="2"/>
        <v>1</v>
      </c>
      <c r="B58">
        <v>0.14524156981289413</v>
      </c>
      <c r="C58">
        <v>0.21646166675353104</v>
      </c>
      <c r="D58">
        <v>0.29505654870485226</v>
      </c>
      <c r="E58">
        <v>8.7937144941887729E-2</v>
      </c>
      <c r="F58">
        <v>0.25530306978683481</v>
      </c>
      <c r="G58" s="18">
        <f t="shared" si="9"/>
        <v>1.0336409182064112E-3</v>
      </c>
      <c r="H58">
        <f t="shared" si="6"/>
        <v>2.6287519683070894E-4</v>
      </c>
      <c r="R58">
        <f t="shared" si="7"/>
        <v>6.0203937834856695E-4</v>
      </c>
      <c r="S58" s="18">
        <f t="shared" si="8"/>
        <v>2.158007699289222E-4</v>
      </c>
    </row>
    <row r="59" spans="1:19" x14ac:dyDescent="0.3">
      <c r="A59">
        <f t="shared" si="2"/>
        <v>1</v>
      </c>
      <c r="B59">
        <v>0.21446135941283578</v>
      </c>
      <c r="C59">
        <v>0.25123420869859026</v>
      </c>
      <c r="D59">
        <v>0.29961706680682521</v>
      </c>
      <c r="E59">
        <v>4.5191748165111782E-2</v>
      </c>
      <c r="F59">
        <v>0.18949561691663697</v>
      </c>
      <c r="G59" s="18">
        <f t="shared" si="9"/>
        <v>1.2096388777785461E-3</v>
      </c>
      <c r="H59">
        <f t="shared" si="6"/>
        <v>-6.3899715018840564E-4</v>
      </c>
      <c r="R59">
        <f t="shared" si="7"/>
        <v>6.7494954217102194E-4</v>
      </c>
      <c r="S59" s="18">
        <f t="shared" si="8"/>
        <v>2.6734466780376208E-4</v>
      </c>
    </row>
    <row r="60" spans="1:19" x14ac:dyDescent="0.3">
      <c r="A60">
        <f t="shared" si="2"/>
        <v>1</v>
      </c>
      <c r="B60">
        <v>0.27834659287443791</v>
      </c>
      <c r="C60">
        <v>0.24227775856105158</v>
      </c>
      <c r="D60">
        <v>0.26803009339328954</v>
      </c>
      <c r="E60">
        <v>5.0613974403320654E-2</v>
      </c>
      <c r="F60">
        <v>0.16073158076790039</v>
      </c>
      <c r="G60" s="18">
        <f t="shared" si="9"/>
        <v>1.200313388033909E-3</v>
      </c>
      <c r="H60">
        <f t="shared" si="6"/>
        <v>-7.8582409843277741E-4</v>
      </c>
      <c r="R60">
        <f t="shared" si="7"/>
        <v>6.367412334345355E-4</v>
      </c>
      <c r="S60" s="18">
        <f t="shared" si="8"/>
        <v>2.8178607729968674E-4</v>
      </c>
    </row>
    <row r="61" spans="1:19" x14ac:dyDescent="0.3">
      <c r="A61">
        <f t="shared" si="2"/>
        <v>1</v>
      </c>
      <c r="B61">
        <v>0.32193082926944466</v>
      </c>
      <c r="C61">
        <v>6.6950843675093574E-2</v>
      </c>
      <c r="D61">
        <v>0.37220890552492053</v>
      </c>
      <c r="E61">
        <v>1.7593784316735348E-3</v>
      </c>
      <c r="F61">
        <v>0.23715004309886761</v>
      </c>
      <c r="G61" s="18">
        <f t="shared" si="9"/>
        <v>8.9089670396803313E-4</v>
      </c>
      <c r="H61">
        <f t="shared" si="6"/>
        <v>1.0868142814390814E-3</v>
      </c>
      <c r="R61">
        <f t="shared" si="7"/>
        <v>5.4162974623266037E-4</v>
      </c>
      <c r="S61" s="18">
        <f t="shared" si="8"/>
        <v>1.7463347886768641E-4</v>
      </c>
    </row>
    <row r="62" spans="1:19" x14ac:dyDescent="0.3">
      <c r="A62">
        <f t="shared" si="2"/>
        <v>1</v>
      </c>
      <c r="B62">
        <v>5.8103830175585368E-2</v>
      </c>
      <c r="C62">
        <v>0.29553859170461355</v>
      </c>
      <c r="D62">
        <v>0.2103792149518495</v>
      </c>
      <c r="E62">
        <v>0.17714443250848458</v>
      </c>
      <c r="F62">
        <v>0.25883393065946708</v>
      </c>
      <c r="G62" s="18">
        <f t="shared" si="9"/>
        <v>1.1528678189156336E-3</v>
      </c>
      <c r="H62">
        <f t="shared" si="6"/>
        <v>-1.4945568685089576E-4</v>
      </c>
      <c r="R62">
        <f t="shared" si="7"/>
        <v>7.572397846154253E-4</v>
      </c>
      <c r="S62" s="18">
        <f t="shared" si="8"/>
        <v>1.9781401715010413E-4</v>
      </c>
    </row>
    <row r="63" spans="1:19" x14ac:dyDescent="0.3">
      <c r="A63">
        <f t="shared" si="2"/>
        <v>0.99999999999999989</v>
      </c>
      <c r="B63">
        <v>7.8867678824271106E-2</v>
      </c>
      <c r="C63">
        <v>0.30997240509730561</v>
      </c>
      <c r="D63">
        <v>0.11489607987019028</v>
      </c>
      <c r="E63">
        <v>0.25233316452556404</v>
      </c>
      <c r="F63">
        <v>0.24393067168266894</v>
      </c>
      <c r="G63" s="18">
        <f t="shared" si="9"/>
        <v>1.1473565899985361E-3</v>
      </c>
      <c r="H63">
        <f t="shared" si="6"/>
        <v>-2.2348034101134749E-4</v>
      </c>
      <c r="R63">
        <f t="shared" si="7"/>
        <v>7.6983830004174819E-4</v>
      </c>
      <c r="S63" s="18">
        <f t="shared" si="8"/>
        <v>1.8875914497839397E-4</v>
      </c>
    </row>
    <row r="64" spans="1:19" x14ac:dyDescent="0.3">
      <c r="A64">
        <f t="shared" si="2"/>
        <v>1</v>
      </c>
      <c r="B64">
        <v>1.6121015942601537E-2</v>
      </c>
      <c r="C64">
        <v>0.16147778103454868</v>
      </c>
      <c r="D64">
        <v>0.34620041035313309</v>
      </c>
      <c r="E64">
        <v>0.14790554231607386</v>
      </c>
      <c r="F64">
        <v>0.32829525035364282</v>
      </c>
      <c r="G64" s="18">
        <f t="shared" si="9"/>
        <v>8.9320687351499028E-4</v>
      </c>
      <c r="H64">
        <f t="shared" si="6"/>
        <v>1.279515428003966E-3</v>
      </c>
      <c r="R64">
        <f t="shared" si="7"/>
        <v>6.1228091835374243E-4</v>
      </c>
      <c r="S64" s="18">
        <f t="shared" si="8"/>
        <v>1.4046297758062392E-4</v>
      </c>
    </row>
    <row r="65" spans="1:19" x14ac:dyDescent="0.3">
      <c r="A65">
        <f t="shared" si="2"/>
        <v>1</v>
      </c>
      <c r="B65">
        <v>9.972112915137285E-2</v>
      </c>
      <c r="C65">
        <v>0.18943377092909183</v>
      </c>
      <c r="D65">
        <v>0.32429483152012173</v>
      </c>
      <c r="E65">
        <v>3.7289331261091456E-2</v>
      </c>
      <c r="F65">
        <v>0.34926093713832218</v>
      </c>
      <c r="G65" s="18">
        <f t="shared" si="9"/>
        <v>1.0046000145697166E-3</v>
      </c>
      <c r="H65">
        <f t="shared" si="6"/>
        <v>1.3163272233759084E-3</v>
      </c>
      <c r="R65">
        <f t="shared" si="7"/>
        <v>6.5759627624887326E-4</v>
      </c>
      <c r="S65" s="18">
        <f t="shared" si="8"/>
        <v>1.7350186916042159E-4</v>
      </c>
    </row>
    <row r="66" spans="1:19" x14ac:dyDescent="0.3">
      <c r="A66">
        <f t="shared" si="2"/>
        <v>1</v>
      </c>
      <c r="B66">
        <v>2.3897522510172076E-2</v>
      </c>
      <c r="C66">
        <v>0.28913918469856659</v>
      </c>
      <c r="D66">
        <v>0.23498316535243086</v>
      </c>
      <c r="E66">
        <v>0.32181046489948562</v>
      </c>
      <c r="F66">
        <v>0.13016966253934481</v>
      </c>
      <c r="G66" s="18">
        <f t="shared" si="9"/>
        <v>1.1626049668518924E-3</v>
      </c>
      <c r="H66">
        <f t="shared" si="6"/>
        <v>-1.3900115694205958E-3</v>
      </c>
      <c r="R66">
        <f t="shared" si="7"/>
        <v>7.3678094283771364E-4</v>
      </c>
      <c r="S66" s="18">
        <f t="shared" si="8"/>
        <v>2.1291201200708941E-4</v>
      </c>
    </row>
    <row r="67" spans="1:19" x14ac:dyDescent="0.3">
      <c r="A67">
        <f t="shared" si="2"/>
        <v>0.99999999999999978</v>
      </c>
      <c r="B67">
        <v>8.2074479021782512E-2</v>
      </c>
      <c r="C67">
        <v>0.38748926597404476</v>
      </c>
      <c r="D67">
        <v>5.0966969436750886E-2</v>
      </c>
      <c r="E67">
        <v>0.25854791306346075</v>
      </c>
      <c r="F67">
        <v>0.22092137250396099</v>
      </c>
      <c r="G67" s="18">
        <f t="shared" si="9"/>
        <v>1.4222946563118731E-3</v>
      </c>
      <c r="H67">
        <f t="shared" si="6"/>
        <v>-9.127957626138051E-4</v>
      </c>
      <c r="R67">
        <f t="shared" si="7"/>
        <v>1.0477806450189231E-3</v>
      </c>
      <c r="S67" s="18">
        <f t="shared" si="8"/>
        <v>1.8725700564647499E-4</v>
      </c>
    </row>
    <row r="68" spans="1:19" x14ac:dyDescent="0.3">
      <c r="A68">
        <f t="shared" ref="A68:A103" si="10">SUM(B68:F68)</f>
        <v>0.99999999999999989</v>
      </c>
      <c r="B68">
        <v>0.21083100597406917</v>
      </c>
      <c r="C68">
        <v>0.11281373111139882</v>
      </c>
      <c r="D68">
        <v>0.1856492869957645</v>
      </c>
      <c r="E68">
        <v>0.28736567592061701</v>
      </c>
      <c r="F68">
        <v>0.20334029999815043</v>
      </c>
      <c r="G68" s="18">
        <f t="shared" si="9"/>
        <v>7.100155848558077E-4</v>
      </c>
      <c r="H68">
        <f t="shared" si="6"/>
        <v>7.5358122203138711E-4</v>
      </c>
      <c r="R68">
        <f t="shared" si="7"/>
        <v>3.6332183178878119E-4</v>
      </c>
      <c r="S68" s="18">
        <f t="shared" si="8"/>
        <v>1.7334687653351328E-4</v>
      </c>
    </row>
    <row r="69" spans="1:19" x14ac:dyDescent="0.3">
      <c r="A69">
        <f t="shared" si="10"/>
        <v>1</v>
      </c>
      <c r="B69">
        <v>5.6362868943893391E-2</v>
      </c>
      <c r="C69">
        <v>2.4917844975730349E-2</v>
      </c>
      <c r="D69">
        <v>0.31977147336368295</v>
      </c>
      <c r="E69">
        <v>0.2621574361602701</v>
      </c>
      <c r="F69">
        <v>0.33679037655642313</v>
      </c>
      <c r="G69" s="18">
        <f t="shared" si="9"/>
        <v>6.4652020480507506E-4</v>
      </c>
      <c r="H69">
        <f t="shared" si="6"/>
        <v>2.4464099298812294E-3</v>
      </c>
      <c r="R69">
        <f t="shared" si="7"/>
        <v>4.9209469719967819E-4</v>
      </c>
      <c r="S69" s="18">
        <f t="shared" si="8"/>
        <v>7.7212753802698408E-5</v>
      </c>
    </row>
    <row r="70" spans="1:19" x14ac:dyDescent="0.3">
      <c r="A70">
        <f t="shared" si="10"/>
        <v>1</v>
      </c>
      <c r="B70">
        <v>0.28145465519843066</v>
      </c>
      <c r="C70">
        <v>0.28865751219757557</v>
      </c>
      <c r="D70">
        <v>0.15030431064835773</v>
      </c>
      <c r="E70">
        <v>0.1646999647905035</v>
      </c>
      <c r="F70">
        <v>0.11488355716513253</v>
      </c>
      <c r="G70" s="18">
        <f t="shared" si="9"/>
        <v>1.2618709951044643E-3</v>
      </c>
      <c r="H70">
        <f t="shared" si="6"/>
        <v>-1.3597882259381343E-3</v>
      </c>
      <c r="R70">
        <f t="shared" si="7"/>
        <v>6.8658940244354239E-4</v>
      </c>
      <c r="S70" s="18">
        <f t="shared" si="8"/>
        <v>2.8764079633046097E-4</v>
      </c>
    </row>
    <row r="71" spans="1:19" x14ac:dyDescent="0.3">
      <c r="A71">
        <f t="shared" si="10"/>
        <v>1</v>
      </c>
      <c r="B71">
        <v>0.13149307405434202</v>
      </c>
      <c r="C71">
        <v>0.23460530989167111</v>
      </c>
      <c r="D71">
        <v>0.11727490676611614</v>
      </c>
      <c r="E71">
        <v>0.26169863256970344</v>
      </c>
      <c r="F71">
        <v>0.25492807671816725</v>
      </c>
      <c r="G71" s="18">
        <f t="shared" si="9"/>
        <v>9.2947508675689694E-4</v>
      </c>
      <c r="H71">
        <f t="shared" si="6"/>
        <v>4.5177426515962283E-4</v>
      </c>
      <c r="R71">
        <f t="shared" si="7"/>
        <v>5.6160857228840244E-4</v>
      </c>
      <c r="S71" s="18">
        <f t="shared" si="8"/>
        <v>1.8393325723424725E-4</v>
      </c>
    </row>
    <row r="72" spans="1:19" x14ac:dyDescent="0.3">
      <c r="A72">
        <f t="shared" si="10"/>
        <v>1</v>
      </c>
      <c r="B72">
        <v>0.13043429831694087</v>
      </c>
      <c r="C72">
        <v>0.2665159227864598</v>
      </c>
      <c r="D72">
        <v>0.23841295654789088</v>
      </c>
      <c r="E72">
        <v>2.0439533510810119E-2</v>
      </c>
      <c r="F72">
        <v>0.34419728883789835</v>
      </c>
      <c r="G72" s="18">
        <f t="shared" si="9"/>
        <v>1.1690507154114562E-3</v>
      </c>
      <c r="H72">
        <f t="shared" si="6"/>
        <v>8.4598967403337437E-4</v>
      </c>
      <c r="R72">
        <f t="shared" si="7"/>
        <v>7.6768201180829024E-4</v>
      </c>
      <c r="S72" s="18">
        <f t="shared" si="8"/>
        <v>2.0068435180158303E-4</v>
      </c>
    </row>
    <row r="73" spans="1:19" x14ac:dyDescent="0.3">
      <c r="A73">
        <f t="shared" si="10"/>
        <v>1</v>
      </c>
      <c r="B73">
        <v>0.23794507949021157</v>
      </c>
      <c r="C73">
        <v>0.30728550781763236</v>
      </c>
      <c r="D73">
        <v>7.9796785354530733E-2</v>
      </c>
      <c r="E73">
        <v>0.27463539613716992</v>
      </c>
      <c r="F73">
        <v>0.10033723120045548</v>
      </c>
      <c r="G73" s="18">
        <f t="shared" si="9"/>
        <v>1.2611874953566021E-3</v>
      </c>
      <c r="H73">
        <f t="shared" si="6"/>
        <v>-1.5126798357817453E-3</v>
      </c>
      <c r="R73">
        <f t="shared" si="7"/>
        <v>7.3388167693085211E-4</v>
      </c>
      <c r="S73" s="18">
        <f t="shared" si="8"/>
        <v>2.6365290921287493E-4</v>
      </c>
    </row>
    <row r="74" spans="1:19" x14ac:dyDescent="0.3">
      <c r="A74">
        <f t="shared" si="10"/>
        <v>1</v>
      </c>
      <c r="B74">
        <v>0.23871816333851489</v>
      </c>
      <c r="C74">
        <v>0.23404280760492649</v>
      </c>
      <c r="D74">
        <v>0.16567021403802462</v>
      </c>
      <c r="E74">
        <v>0.35915341384670574</v>
      </c>
      <c r="F74">
        <v>2.4154011718282914E-3</v>
      </c>
      <c r="G74" s="18">
        <f t="shared" si="9"/>
        <v>1.154550764025397E-3</v>
      </c>
      <c r="H74">
        <f t="shared" si="6"/>
        <v>-2.0626919567303466E-3</v>
      </c>
      <c r="R74">
        <f t="shared" si="7"/>
        <v>5.8289558091905401E-4</v>
      </c>
      <c r="S74" s="18">
        <f t="shared" si="8"/>
        <v>2.8582759155317146E-4</v>
      </c>
    </row>
    <row r="75" spans="1:19" x14ac:dyDescent="0.3">
      <c r="A75">
        <f t="shared" si="10"/>
        <v>1.0000000000000002</v>
      </c>
      <c r="B75">
        <v>6.7873184313519491E-2</v>
      </c>
      <c r="C75">
        <v>0.14987785978829032</v>
      </c>
      <c r="D75">
        <v>0.37524625042683413</v>
      </c>
      <c r="E75">
        <v>3.8007932547083088E-2</v>
      </c>
      <c r="F75">
        <v>0.36899477292427313</v>
      </c>
      <c r="G75" s="18">
        <f t="shared" si="9"/>
        <v>9.6074672239485201E-4</v>
      </c>
      <c r="H75">
        <f t="shared" si="6"/>
        <v>1.7091373450565963E-3</v>
      </c>
      <c r="R75">
        <f t="shared" si="7"/>
        <v>6.6964864510816969E-4</v>
      </c>
      <c r="S75" s="18">
        <f t="shared" si="8"/>
        <v>1.4554903864334116E-4</v>
      </c>
    </row>
    <row r="76" spans="1:19" x14ac:dyDescent="0.3">
      <c r="A76">
        <f t="shared" si="10"/>
        <v>1</v>
      </c>
      <c r="B76">
        <v>0.46583073924301049</v>
      </c>
      <c r="C76">
        <v>0.35088586972332936</v>
      </c>
      <c r="D76">
        <v>0.10103860588252409</v>
      </c>
      <c r="E76">
        <v>6.1210834084892224E-2</v>
      </c>
      <c r="F76">
        <v>2.1033951066243856E-2</v>
      </c>
      <c r="G76" s="18">
        <f t="shared" si="9"/>
        <v>1.7517459654414938E-3</v>
      </c>
      <c r="H76">
        <f t="shared" si="6"/>
        <v>-2.6323682338164479E-3</v>
      </c>
      <c r="R76">
        <f t="shared" si="7"/>
        <v>1.0263572756791487E-3</v>
      </c>
      <c r="S76" s="18">
        <f t="shared" si="8"/>
        <v>3.6269434488117255E-4</v>
      </c>
    </row>
    <row r="77" spans="1:19" x14ac:dyDescent="0.3">
      <c r="A77">
        <f t="shared" si="10"/>
        <v>1</v>
      </c>
      <c r="B77">
        <v>0.28804992585269401</v>
      </c>
      <c r="C77">
        <v>0.29873949579831932</v>
      </c>
      <c r="D77">
        <v>0.10595650024715769</v>
      </c>
      <c r="E77">
        <v>0.12947355412753336</v>
      </c>
      <c r="F77">
        <v>0.17778052397429561</v>
      </c>
      <c r="G77" s="18">
        <f t="shared" si="9"/>
        <v>1.2505686845378811E-3</v>
      </c>
      <c r="H77">
        <f t="shared" si="6"/>
        <v>-7.4649334840338425E-4</v>
      </c>
      <c r="R77">
        <f t="shared" si="7"/>
        <v>7.2641622791699281E-4</v>
      </c>
      <c r="S77" s="18">
        <f t="shared" si="8"/>
        <v>2.6207622831044415E-4</v>
      </c>
    </row>
    <row r="78" spans="1:19" x14ac:dyDescent="0.3">
      <c r="A78">
        <f t="shared" si="10"/>
        <v>1</v>
      </c>
      <c r="B78">
        <v>5.8395020981658725E-2</v>
      </c>
      <c r="C78">
        <v>0.17477250223961527</v>
      </c>
      <c r="D78">
        <v>0.30569569522372581</v>
      </c>
      <c r="E78">
        <v>0.3389009382809185</v>
      </c>
      <c r="F78">
        <v>0.12223584327408175</v>
      </c>
      <c r="G78" s="18">
        <f t="shared" si="9"/>
        <v>9.0807960290362514E-4</v>
      </c>
      <c r="H78">
        <f t="shared" si="6"/>
        <v>-7.305467293122717E-4</v>
      </c>
      <c r="R78">
        <f t="shared" si="7"/>
        <v>5.1589865550207719E-4</v>
      </c>
      <c r="S78" s="18">
        <f t="shared" si="8"/>
        <v>1.9609047370077397E-4</v>
      </c>
    </row>
    <row r="79" spans="1:19" x14ac:dyDescent="0.3">
      <c r="A79">
        <f t="shared" si="10"/>
        <v>1</v>
      </c>
      <c r="B79">
        <v>0.13726181321028796</v>
      </c>
      <c r="C79">
        <v>1.2101597880885244E-2</v>
      </c>
      <c r="D79">
        <v>0.29882295137998804</v>
      </c>
      <c r="E79">
        <v>0.20720114500555414</v>
      </c>
      <c r="F79">
        <v>0.34461249252328463</v>
      </c>
      <c r="G79" s="18">
        <f t="shared" si="9"/>
        <v>6.3742981804824428E-4</v>
      </c>
      <c r="H79">
        <f t="shared" si="6"/>
        <v>2.6629776784937364E-3</v>
      </c>
      <c r="R79">
        <f t="shared" si="7"/>
        <v>4.6693953727634894E-4</v>
      </c>
      <c r="S79" s="18">
        <f t="shared" si="8"/>
        <v>8.52451403859477E-5</v>
      </c>
    </row>
    <row r="80" spans="1:19" x14ac:dyDescent="0.3">
      <c r="A80">
        <f t="shared" si="10"/>
        <v>1</v>
      </c>
      <c r="B80">
        <v>0.28184579528521764</v>
      </c>
      <c r="C80">
        <v>0.19571696022618731</v>
      </c>
      <c r="D80">
        <v>8.5565277194054948E-2</v>
      </c>
      <c r="E80">
        <v>0.20106598402934323</v>
      </c>
      <c r="F80">
        <v>0.23580598326519697</v>
      </c>
      <c r="G80" s="18">
        <f t="shared" si="9"/>
        <v>8.851536552137002E-4</v>
      </c>
      <c r="H80">
        <f t="shared" si="6"/>
        <v>6.301867137032029E-4</v>
      </c>
      <c r="R80">
        <f t="shared" si="7"/>
        <v>4.8627535986638256E-4</v>
      </c>
      <c r="S80" s="18">
        <f t="shared" si="8"/>
        <v>1.9943914767365885E-4</v>
      </c>
    </row>
    <row r="81" spans="1:19" x14ac:dyDescent="0.3">
      <c r="A81">
        <f t="shared" si="10"/>
        <v>1</v>
      </c>
      <c r="B81">
        <v>0.22359895712331246</v>
      </c>
      <c r="C81">
        <v>0.27511465620348147</v>
      </c>
      <c r="D81">
        <v>0.21554505795193477</v>
      </c>
      <c r="E81">
        <v>4.5819458426908287E-2</v>
      </c>
      <c r="F81">
        <v>0.23992187029436315</v>
      </c>
      <c r="G81" s="18">
        <f t="shared" si="9"/>
        <v>1.2070863943063725E-3</v>
      </c>
      <c r="H81">
        <f t="shared" si="6"/>
        <v>-1.7633694504266221E-4</v>
      </c>
      <c r="R81">
        <f t="shared" si="7"/>
        <v>7.0697054997815884E-4</v>
      </c>
      <c r="S81" s="18">
        <f t="shared" si="8"/>
        <v>2.5005792216410683E-4</v>
      </c>
    </row>
    <row r="82" spans="1:19" x14ac:dyDescent="0.3">
      <c r="A82">
        <f t="shared" si="10"/>
        <v>1</v>
      </c>
      <c r="B82">
        <v>6.3407985092653302E-2</v>
      </c>
      <c r="C82">
        <v>0.52394837641050418</v>
      </c>
      <c r="D82">
        <v>0.25746230028641431</v>
      </c>
      <c r="E82">
        <v>8.5337658304289327E-2</v>
      </c>
      <c r="F82">
        <v>6.9843679906138934E-2</v>
      </c>
      <c r="G82" s="18">
        <f t="shared" si="9"/>
        <v>2.34041624641347E-3</v>
      </c>
      <c r="H82">
        <f t="shared" si="6"/>
        <v>-3.7877311172457261E-3</v>
      </c>
      <c r="R82">
        <f t="shared" si="7"/>
        <v>1.7523027102992908E-3</v>
      </c>
      <c r="S82" s="18">
        <f t="shared" si="8"/>
        <v>2.9405676805708972E-4</v>
      </c>
    </row>
    <row r="83" spans="1:19" x14ac:dyDescent="0.3">
      <c r="A83">
        <f t="shared" si="10"/>
        <v>1.0000000000000002</v>
      </c>
      <c r="B83">
        <v>0.32917153576480723</v>
      </c>
      <c r="C83">
        <v>1.5634417860877055E-2</v>
      </c>
      <c r="D83">
        <v>0.227750784181069</v>
      </c>
      <c r="E83">
        <v>0.24869918199151242</v>
      </c>
      <c r="F83">
        <v>0.17874408020173443</v>
      </c>
      <c r="G83" s="18">
        <f t="shared" si="9"/>
        <v>6.438980679818213E-4</v>
      </c>
      <c r="H83">
        <f t="shared" si="6"/>
        <v>1.1808837156547024E-3</v>
      </c>
      <c r="R83">
        <f t="shared" si="7"/>
        <v>3.7018314251443374E-4</v>
      </c>
      <c r="S83" s="18">
        <f t="shared" si="8"/>
        <v>1.3685746273369375E-4</v>
      </c>
    </row>
    <row r="84" spans="1:19" x14ac:dyDescent="0.3">
      <c r="A84">
        <f t="shared" si="10"/>
        <v>1</v>
      </c>
      <c r="B84">
        <v>0.37354701236395182</v>
      </c>
      <c r="C84">
        <v>0.26177382516938225</v>
      </c>
      <c r="D84">
        <v>2.869610707769257E-2</v>
      </c>
      <c r="E84">
        <v>0.2737422326566547</v>
      </c>
      <c r="F84">
        <v>6.2240822732318513E-2</v>
      </c>
      <c r="G84" s="18">
        <f t="shared" si="9"/>
        <v>1.2080329301100011E-3</v>
      </c>
      <c r="H84">
        <f t="shared" si="6"/>
        <v>-1.4320483897448351E-3</v>
      </c>
      <c r="R84">
        <f t="shared" si="7"/>
        <v>6.6882279250237125E-4</v>
      </c>
      <c r="S84" s="18">
        <f t="shared" si="8"/>
        <v>2.6960506880381493E-4</v>
      </c>
    </row>
    <row r="85" spans="1:19" x14ac:dyDescent="0.3">
      <c r="A85">
        <f t="shared" si="10"/>
        <v>0.99999999999999989</v>
      </c>
      <c r="B85">
        <v>0.31038828940385632</v>
      </c>
      <c r="C85">
        <v>0.17897576508048824</v>
      </c>
      <c r="D85">
        <v>0.35582876348841319</v>
      </c>
      <c r="E85">
        <v>0.10481160445781</v>
      </c>
      <c r="F85">
        <v>4.9995577569432154E-2</v>
      </c>
      <c r="G85" s="18">
        <f t="shared" si="9"/>
        <v>1.1838572521505062E-3</v>
      </c>
      <c r="H85">
        <f t="shared" si="6"/>
        <v>-1.5362213490749572E-3</v>
      </c>
      <c r="R85">
        <f t="shared" si="7"/>
        <v>5.8122174318750669E-4</v>
      </c>
      <c r="S85" s="18">
        <f t="shared" si="8"/>
        <v>3.0131775448149974E-4</v>
      </c>
    </row>
    <row r="86" spans="1:19" x14ac:dyDescent="0.3">
      <c r="A86">
        <f t="shared" si="10"/>
        <v>1</v>
      </c>
      <c r="B86">
        <v>4.6705658815162357E-3</v>
      </c>
      <c r="C86">
        <v>0.14260086830065707</v>
      </c>
      <c r="D86">
        <v>0.30747184391818017</v>
      </c>
      <c r="E86">
        <v>0.31718449796724235</v>
      </c>
      <c r="F86">
        <v>0.22807222393240417</v>
      </c>
      <c r="G86" s="18">
        <f t="shared" si="9"/>
        <v>7.8856205319324552E-4</v>
      </c>
      <c r="H86">
        <f t="shared" si="6"/>
        <v>5.2694923942102042E-4</v>
      </c>
      <c r="R86">
        <f t="shared" si="7"/>
        <v>5.0756834577281632E-4</v>
      </c>
      <c r="S86" s="18">
        <f t="shared" si="8"/>
        <v>1.404968537102146E-4</v>
      </c>
    </row>
    <row r="87" spans="1:19" x14ac:dyDescent="0.3">
      <c r="A87">
        <f t="shared" si="10"/>
        <v>0.99999999999999989</v>
      </c>
      <c r="B87">
        <v>0.34359943751584865</v>
      </c>
      <c r="C87">
        <v>0.10815140966827266</v>
      </c>
      <c r="D87">
        <v>0.17179971875792432</v>
      </c>
      <c r="E87">
        <v>0.15532861522856681</v>
      </c>
      <c r="F87">
        <v>0.22112081882938747</v>
      </c>
      <c r="G87" s="18">
        <f t="shared" si="9"/>
        <v>7.6504619477088791E-4</v>
      </c>
      <c r="H87">
        <f t="shared" si="6"/>
        <v>9.9463112767767957E-4</v>
      </c>
      <c r="R87">
        <f t="shared" si="7"/>
        <v>3.9686560272333282E-4</v>
      </c>
      <c r="S87" s="18">
        <f t="shared" si="8"/>
        <v>1.8409029602377757E-4</v>
      </c>
    </row>
    <row r="88" spans="1:19" x14ac:dyDescent="0.3">
      <c r="A88">
        <f t="shared" si="10"/>
        <v>1</v>
      </c>
      <c r="B88">
        <v>0.16005517983917097</v>
      </c>
      <c r="C88">
        <v>9.027287103394907E-2</v>
      </c>
      <c r="D88">
        <v>0.37010867736617209</v>
      </c>
      <c r="E88">
        <v>0.16267958682413108</v>
      </c>
      <c r="F88">
        <v>0.21688368493657681</v>
      </c>
      <c r="G88" s="18">
        <f t="shared" si="9"/>
        <v>8.0490948149739418E-4</v>
      </c>
      <c r="H88">
        <f t="shared" si="6"/>
        <v>7.0840741031534082E-4</v>
      </c>
      <c r="R88">
        <f t="shared" si="7"/>
        <v>4.6826252612723466E-4</v>
      </c>
      <c r="S88" s="18">
        <f t="shared" si="8"/>
        <v>1.6832347768507979E-4</v>
      </c>
    </row>
    <row r="89" spans="1:19" x14ac:dyDescent="0.3">
      <c r="A89">
        <f t="shared" si="10"/>
        <v>1</v>
      </c>
      <c r="B89">
        <v>0.36825508058864753</v>
      </c>
      <c r="C89">
        <v>0.13295958888110254</v>
      </c>
      <c r="D89">
        <v>0.3327727166549872</v>
      </c>
      <c r="E89">
        <v>0.15823405746320954</v>
      </c>
      <c r="F89">
        <v>7.7785564120532594E-3</v>
      </c>
      <c r="G89" s="18">
        <f t="shared" si="9"/>
        <v>1.1088775526246469E-3</v>
      </c>
      <c r="H89">
        <f t="shared" si="6"/>
        <v>-1.5486658569725774E-3</v>
      </c>
      <c r="R89">
        <f t="shared" si="7"/>
        <v>5.2764985278464709E-4</v>
      </c>
      <c r="S89" s="18">
        <f t="shared" si="8"/>
        <v>2.9061384991999994E-4</v>
      </c>
    </row>
    <row r="90" spans="1:19" x14ac:dyDescent="0.3">
      <c r="A90">
        <f t="shared" si="10"/>
        <v>0.99999999999999989</v>
      </c>
      <c r="B90">
        <v>0.14845738842048717</v>
      </c>
      <c r="C90">
        <v>0.36434126631945252</v>
      </c>
      <c r="D90">
        <v>0.18392227386318516</v>
      </c>
      <c r="E90">
        <v>0.30233318541700721</v>
      </c>
      <c r="F90">
        <v>9.4588597986780944E-4</v>
      </c>
      <c r="G90" s="18">
        <f t="shared" si="9"/>
        <v>1.5828233627137147E-3</v>
      </c>
      <c r="H90">
        <f t="shared" si="6"/>
        <v>-3.1024458882189516E-3</v>
      </c>
      <c r="R90">
        <f t="shared" si="7"/>
        <v>9.645381027910809E-4</v>
      </c>
      <c r="S90" s="18">
        <f t="shared" si="8"/>
        <v>3.0914262996131682E-4</v>
      </c>
    </row>
    <row r="91" spans="1:19" x14ac:dyDescent="0.3">
      <c r="A91">
        <f t="shared" si="10"/>
        <v>1</v>
      </c>
      <c r="B91">
        <v>0.26962091080204065</v>
      </c>
      <c r="C91">
        <v>0.19656256121553828</v>
      </c>
      <c r="D91">
        <v>0.22580974849463004</v>
      </c>
      <c r="E91">
        <v>0.11629035967056457</v>
      </c>
      <c r="F91">
        <v>0.19171641981722637</v>
      </c>
      <c r="G91" s="18">
        <f t="shared" si="9"/>
        <v>9.8648963250727996E-4</v>
      </c>
      <c r="H91">
        <f t="shared" si="6"/>
        <v>-6.3110338327786262E-5</v>
      </c>
      <c r="R91">
        <f t="shared" si="7"/>
        <v>5.0364835087283262E-4</v>
      </c>
      <c r="S91" s="18">
        <f t="shared" si="8"/>
        <v>2.4142064081722367E-4</v>
      </c>
    </row>
    <row r="92" spans="1:19" x14ac:dyDescent="0.3">
      <c r="A92">
        <f t="shared" si="10"/>
        <v>1</v>
      </c>
      <c r="B92">
        <v>0.14856918855350842</v>
      </c>
      <c r="C92">
        <v>0.23318959885012414</v>
      </c>
      <c r="D92">
        <v>0.24163073304586438</v>
      </c>
      <c r="E92">
        <v>0.16298619277843113</v>
      </c>
      <c r="F92">
        <v>0.21362428677207199</v>
      </c>
      <c r="G92" s="18">
        <f t="shared" si="9"/>
        <v>1.0236426805636208E-3</v>
      </c>
      <c r="H92">
        <f t="shared" si="6"/>
        <v>-1.6611185987500761E-4</v>
      </c>
      <c r="R92">
        <f t="shared" si="7"/>
        <v>5.7362763837837789E-4</v>
      </c>
      <c r="S92" s="18">
        <f t="shared" si="8"/>
        <v>2.2500752109262144E-4</v>
      </c>
    </row>
    <row r="93" spans="1:19" x14ac:dyDescent="0.3">
      <c r="A93">
        <f t="shared" si="10"/>
        <v>1</v>
      </c>
      <c r="B93">
        <v>0.14407468754705616</v>
      </c>
      <c r="C93">
        <v>0.27065201023942176</v>
      </c>
      <c r="D93">
        <v>0.13451287456708327</v>
      </c>
      <c r="E93">
        <v>0.32160819153741904</v>
      </c>
      <c r="F93">
        <v>0.12915223610901971</v>
      </c>
      <c r="G93" s="18">
        <f t="shared" si="9"/>
        <v>1.090114239421388E-3</v>
      </c>
      <c r="H93">
        <f t="shared" si="6"/>
        <v>-1.0653691396989001E-3</v>
      </c>
      <c r="R93">
        <f t="shared" si="7"/>
        <v>6.2836994085905986E-4</v>
      </c>
      <c r="S93" s="18">
        <f t="shared" si="8"/>
        <v>2.3087214928116403E-4</v>
      </c>
    </row>
    <row r="94" spans="1:19" x14ac:dyDescent="0.3">
      <c r="A94">
        <f t="shared" si="10"/>
        <v>1</v>
      </c>
      <c r="B94">
        <v>0.27493107215314988</v>
      </c>
      <c r="C94">
        <v>0.15816123047044339</v>
      </c>
      <c r="D94">
        <v>9.2267942915604556E-2</v>
      </c>
      <c r="E94">
        <v>0.14659522447068615</v>
      </c>
      <c r="F94">
        <v>0.32804452999011596</v>
      </c>
      <c r="G94" s="18">
        <f t="shared" si="9"/>
        <v>8.0829907122014844E-4</v>
      </c>
      <c r="H94">
        <f t="shared" si="6"/>
        <v>1.7911011219019968E-3</v>
      </c>
      <c r="R94">
        <f t="shared" si="7"/>
        <v>4.8221220479243885E-4</v>
      </c>
      <c r="S94" s="18">
        <f t="shared" si="8"/>
        <v>1.6304343321385479E-4</v>
      </c>
    </row>
    <row r="95" spans="1:19" x14ac:dyDescent="0.3">
      <c r="A95">
        <f t="shared" si="10"/>
        <v>1</v>
      </c>
      <c r="B95">
        <v>0.33226132005651621</v>
      </c>
      <c r="C95">
        <v>0.20469622552647515</v>
      </c>
      <c r="D95">
        <v>8.2823117809325164E-2</v>
      </c>
      <c r="E95">
        <v>0.10094866446881517</v>
      </c>
      <c r="F95">
        <v>0.27927067213886836</v>
      </c>
      <c r="G95" s="18">
        <f t="shared" si="9"/>
        <v>9.555537053416534E-4</v>
      </c>
      <c r="H95">
        <f t="shared" si="6"/>
        <v>9.8981672734400807E-4</v>
      </c>
      <c r="R95">
        <f t="shared" si="7"/>
        <v>5.5654275285440245E-4</v>
      </c>
      <c r="S95" s="18">
        <f t="shared" si="8"/>
        <v>1.9950547624362545E-4</v>
      </c>
    </row>
    <row r="96" spans="1:19" x14ac:dyDescent="0.3">
      <c r="A96">
        <f t="shared" si="10"/>
        <v>1</v>
      </c>
      <c r="B96">
        <v>0.38487061306086184</v>
      </c>
      <c r="C96">
        <v>0.18307141270546423</v>
      </c>
      <c r="D96">
        <v>0.10621668147490004</v>
      </c>
      <c r="E96">
        <v>0.22249833407374497</v>
      </c>
      <c r="F96">
        <v>0.10334295868502888</v>
      </c>
      <c r="G96" s="18">
        <f t="shared" si="9"/>
        <v>9.7652935291763811E-4</v>
      </c>
      <c r="H96">
        <f t="shared" si="6"/>
        <v>-5.8359880166023652E-4</v>
      </c>
      <c r="R96">
        <f t="shared" si="7"/>
        <v>4.8309002718571102E-4</v>
      </c>
      <c r="S96" s="18">
        <f t="shared" si="8"/>
        <v>2.4671966286596352E-4</v>
      </c>
    </row>
    <row r="97" spans="1:19" x14ac:dyDescent="0.3">
      <c r="A97">
        <f t="shared" si="10"/>
        <v>1</v>
      </c>
      <c r="B97">
        <v>0.26330287121654028</v>
      </c>
      <c r="C97">
        <v>0.27058353317346123</v>
      </c>
      <c r="D97">
        <v>7.1240305053254696E-2</v>
      </c>
      <c r="E97">
        <v>9.3330740812755192E-2</v>
      </c>
      <c r="F97">
        <v>0.30154254974398859</v>
      </c>
      <c r="G97" s="18">
        <f t="shared" si="9"/>
        <v>1.1149227662388234E-3</v>
      </c>
      <c r="H97">
        <f t="shared" si="6"/>
        <v>7.2325369280424852E-4</v>
      </c>
      <c r="R97">
        <f t="shared" si="7"/>
        <v>7.0374262846279313E-4</v>
      </c>
      <c r="S97" s="18">
        <f t="shared" si="8"/>
        <v>2.0559006888801513E-4</v>
      </c>
    </row>
    <row r="98" spans="1:19" x14ac:dyDescent="0.3">
      <c r="A98">
        <f t="shared" si="10"/>
        <v>1</v>
      </c>
      <c r="B98">
        <v>0.22259916186362089</v>
      </c>
      <c r="C98">
        <v>0.37319372219418001</v>
      </c>
      <c r="D98">
        <v>0.16951719118665556</v>
      </c>
      <c r="E98">
        <v>0.19686814025284957</v>
      </c>
      <c r="F98">
        <v>3.7821784502694009E-2</v>
      </c>
      <c r="G98" s="18">
        <f t="shared" si="9"/>
        <v>1.6288625880625165E-3</v>
      </c>
      <c r="H98">
        <f t="shared" si="6"/>
        <v>-2.7821933332039445E-3</v>
      </c>
      <c r="R98">
        <f t="shared" si="7"/>
        <v>9.7617601199716665E-4</v>
      </c>
      <c r="S98" s="18">
        <f t="shared" si="8"/>
        <v>3.263432880326749E-4</v>
      </c>
    </row>
    <row r="99" spans="1:19" x14ac:dyDescent="0.3">
      <c r="A99">
        <f t="shared" si="10"/>
        <v>1</v>
      </c>
      <c r="B99">
        <v>0.37357168581999151</v>
      </c>
      <c r="C99">
        <v>3.0825393707232428E-2</v>
      </c>
      <c r="D99">
        <v>0.17403333005926072</v>
      </c>
      <c r="E99">
        <v>0.28178305994826963</v>
      </c>
      <c r="F99">
        <v>0.13978653046524572</v>
      </c>
      <c r="G99" s="18">
        <f t="shared" si="9"/>
        <v>6.6985991105382632E-4</v>
      </c>
      <c r="H99">
        <f t="shared" si="6"/>
        <v>7.9294910554019479E-4</v>
      </c>
      <c r="R99">
        <f t="shared" si="7"/>
        <v>3.6763692782143043E-4</v>
      </c>
      <c r="S99" s="18">
        <f t="shared" si="8"/>
        <v>1.5111149161619794E-4</v>
      </c>
    </row>
    <row r="100" spans="1:19" x14ac:dyDescent="0.3">
      <c r="A100">
        <f t="shared" si="10"/>
        <v>1</v>
      </c>
      <c r="B100">
        <v>0.16183390501956618</v>
      </c>
      <c r="C100">
        <v>0.15184308420696654</v>
      </c>
      <c r="D100">
        <v>0.2045122952799652</v>
      </c>
      <c r="E100">
        <v>0.23304507464128701</v>
      </c>
      <c r="F100">
        <v>0.24876564085221509</v>
      </c>
      <c r="G100" s="18">
        <f t="shared" si="9"/>
        <v>7.7831938272635969E-4</v>
      </c>
      <c r="H100">
        <f t="shared" si="6"/>
        <v>8.5820162281682833E-4</v>
      </c>
      <c r="R100">
        <f t="shared" si="7"/>
        <v>4.2251300690723846E-4</v>
      </c>
      <c r="S100" s="18">
        <f t="shared" si="8"/>
        <v>1.7790318790956064E-4</v>
      </c>
    </row>
    <row r="101" spans="1:19" x14ac:dyDescent="0.3">
      <c r="A101">
        <f t="shared" si="10"/>
        <v>0.99999999999999989</v>
      </c>
      <c r="B101">
        <v>0.34521684040776368</v>
      </c>
      <c r="C101">
        <v>0.18148937395611359</v>
      </c>
      <c r="D101">
        <v>2.3889880780971033E-2</v>
      </c>
      <c r="E101">
        <v>0.20838564764153661</v>
      </c>
      <c r="F101">
        <v>0.24101825721361517</v>
      </c>
      <c r="G101" s="18">
        <f t="shared" si="9"/>
        <v>8.6483845404866015E-4</v>
      </c>
      <c r="H101">
        <f t="shared" si="6"/>
        <v>9.0688752176571103E-4</v>
      </c>
      <c r="R101">
        <f t="shared" si="7"/>
        <v>5.0136393433655561E-4</v>
      </c>
      <c r="S101" s="18">
        <f t="shared" si="8"/>
        <v>1.8173725985605224E-4</v>
      </c>
    </row>
    <row r="102" spans="1:19" x14ac:dyDescent="0.3">
      <c r="A102">
        <f t="shared" si="10"/>
        <v>1</v>
      </c>
      <c r="B102">
        <v>0.21172243497804263</v>
      </c>
      <c r="C102">
        <v>0.10626783575579248</v>
      </c>
      <c r="D102">
        <v>0.3808756339548432</v>
      </c>
      <c r="E102">
        <v>0.24410403513181825</v>
      </c>
      <c r="F102">
        <v>5.7030060179503482E-2</v>
      </c>
      <c r="G102" s="18">
        <f t="shared" si="9"/>
        <v>9.4184376743976597E-4</v>
      </c>
      <c r="H102">
        <f t="shared" si="6"/>
        <v>-9.7117478463895136E-4</v>
      </c>
      <c r="R102">
        <f t="shared" si="7"/>
        <v>4.8180996428235089E-4</v>
      </c>
      <c r="S102" s="18">
        <f t="shared" si="8"/>
        <v>2.3001690157870751E-4</v>
      </c>
    </row>
    <row r="103" spans="1:19" x14ac:dyDescent="0.3">
      <c r="A103">
        <f t="shared" si="10"/>
        <v>1</v>
      </c>
      <c r="B103">
        <v>0.2413700638195177</v>
      </c>
      <c r="C103">
        <v>0.18159066125601103</v>
      </c>
      <c r="D103">
        <v>0.12084592145015106</v>
      </c>
      <c r="E103">
        <v>0.26217844437691057</v>
      </c>
      <c r="F103">
        <v>0.1940149090974097</v>
      </c>
      <c r="G103" s="18">
        <f t="shared" si="9"/>
        <v>8.4591399248534543E-4</v>
      </c>
      <c r="H103">
        <f t="shared" si="6"/>
        <v>2.6575798931589541E-4</v>
      </c>
      <c r="R103">
        <f t="shared" si="7"/>
        <v>4.3846373814301686E-4</v>
      </c>
      <c r="S103" s="18">
        <f t="shared" si="8"/>
        <v>2.0372512717116431E-4</v>
      </c>
    </row>
  </sheetData>
  <mergeCells count="19">
    <mergeCell ref="J29:L29"/>
    <mergeCell ref="J30:L30"/>
    <mergeCell ref="J33:M33"/>
    <mergeCell ref="J27:L27"/>
    <mergeCell ref="J21:L21"/>
    <mergeCell ref="J22:L22"/>
    <mergeCell ref="J23:L23"/>
    <mergeCell ref="J24:L24"/>
    <mergeCell ref="J25:L25"/>
    <mergeCell ref="J26:L26"/>
    <mergeCell ref="G1:H1"/>
    <mergeCell ref="J2:K2"/>
    <mergeCell ref="M2:N2"/>
    <mergeCell ref="A1:F1"/>
    <mergeCell ref="J37:M37"/>
    <mergeCell ref="J34:L34"/>
    <mergeCell ref="J35:L35"/>
    <mergeCell ref="J38:L38"/>
    <mergeCell ref="J39:L3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6C63-41D4-4B23-B6D4-58DDF3483C9A}">
  <dimension ref="A1:O74"/>
  <sheetViews>
    <sheetView topLeftCell="A69" workbookViewId="0">
      <selection activeCell="S33" sqref="S33"/>
    </sheetView>
  </sheetViews>
  <sheetFormatPr defaultRowHeight="14.4" x14ac:dyDescent="0.3"/>
  <cols>
    <col min="1" max="1" width="20.44140625" customWidth="1"/>
    <col min="2" max="2" width="28.109375" customWidth="1"/>
    <col min="3" max="3" width="21" customWidth="1"/>
    <col min="14" max="14" width="12.21875" customWidth="1"/>
  </cols>
  <sheetData>
    <row r="1" spans="1:5" x14ac:dyDescent="0.3">
      <c r="A1" t="s">
        <v>69</v>
      </c>
      <c r="B1" s="19" t="s">
        <v>70</v>
      </c>
    </row>
    <row r="2" spans="1:5" x14ac:dyDescent="0.3">
      <c r="A2" s="19">
        <v>7.1480000000000002E-2</v>
      </c>
      <c r="B2">
        <f>A2/52</f>
        <v>1.3746153846153847E-3</v>
      </c>
    </row>
    <row r="4" spans="1:5" x14ac:dyDescent="0.3">
      <c r="A4" s="20" t="s">
        <v>71</v>
      </c>
    </row>
    <row r="5" spans="1:5" x14ac:dyDescent="0.3">
      <c r="A5" s="49" t="s">
        <v>72</v>
      </c>
      <c r="B5" s="49"/>
    </row>
    <row r="6" spans="1:5" x14ac:dyDescent="0.3">
      <c r="A6" s="3" t="s">
        <v>10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 x14ac:dyDescent="0.3">
      <c r="A7" s="5">
        <v>0.1</v>
      </c>
      <c r="B7" s="5">
        <v>0.1</v>
      </c>
      <c r="C7" s="5">
        <v>0.1</v>
      </c>
      <c r="D7" s="5">
        <v>0.5</v>
      </c>
      <c r="E7" s="5">
        <v>0.2</v>
      </c>
    </row>
    <row r="9" spans="1:5" x14ac:dyDescent="0.3">
      <c r="A9" s="49" t="s">
        <v>73</v>
      </c>
      <c r="B9" s="49"/>
      <c r="C9" s="49"/>
    </row>
    <row r="10" spans="1:5" x14ac:dyDescent="0.3">
      <c r="A10" s="5" t="s">
        <v>74</v>
      </c>
      <c r="B10" s="5" t="s">
        <v>75</v>
      </c>
      <c r="C10" s="5" t="s">
        <v>76</v>
      </c>
    </row>
    <row r="11" spans="1:5" x14ac:dyDescent="0.3">
      <c r="A11" s="21">
        <v>0</v>
      </c>
      <c r="B11" s="22">
        <f>B2</f>
        <v>1.3746153846153847E-3</v>
      </c>
      <c r="C11" s="5"/>
    </row>
    <row r="12" spans="1:5" x14ac:dyDescent="0.3">
      <c r="A12" s="21">
        <v>6.6177847728079607E-4</v>
      </c>
      <c r="B12" s="21">
        <v>9.7051161750748565E-4</v>
      </c>
      <c r="C12" s="23">
        <f>(B12-B11)/(A12-A11)</f>
        <v>-0.610632985177056</v>
      </c>
    </row>
    <row r="14" spans="1:5" x14ac:dyDescent="0.3">
      <c r="A14" s="49" t="s">
        <v>77</v>
      </c>
      <c r="B14" s="49"/>
    </row>
    <row r="15" spans="1:5" x14ac:dyDescent="0.3">
      <c r="A15" s="35" t="s">
        <v>86</v>
      </c>
      <c r="B15" s="35"/>
    </row>
    <row r="17" spans="1:2" x14ac:dyDescent="0.3">
      <c r="A17" s="49" t="s">
        <v>78</v>
      </c>
      <c r="B17" s="49"/>
    </row>
    <row r="18" spans="1:2" x14ac:dyDescent="0.3">
      <c r="A18" s="5" t="s">
        <v>74</v>
      </c>
      <c r="B18" s="5" t="s">
        <v>75</v>
      </c>
    </row>
    <row r="19" spans="1:2" x14ac:dyDescent="0.3">
      <c r="A19" s="5">
        <v>0</v>
      </c>
      <c r="B19" s="5">
        <f>$B$2+$C$12*A19</f>
        <v>1.3746153846153847E-3</v>
      </c>
    </row>
    <row r="20" spans="1:2" x14ac:dyDescent="0.3">
      <c r="A20" s="5">
        <v>1E-4</v>
      </c>
      <c r="B20" s="5">
        <f>$B$2+$C$12*A20</f>
        <v>1.3135520860976791E-3</v>
      </c>
    </row>
    <row r="21" spans="1:2" x14ac:dyDescent="0.3">
      <c r="A21" s="5">
        <v>5.9999999999999995E-4</v>
      </c>
      <c r="B21" s="5">
        <f>$B$2+$C$12*A21</f>
        <v>1.0082355935091512E-3</v>
      </c>
    </row>
    <row r="22" spans="1:2" x14ac:dyDescent="0.3">
      <c r="A22" s="11">
        <v>1E-3</v>
      </c>
      <c r="B22" s="5">
        <f t="shared" ref="B22:B23" si="0">$B$2+$C$12*A22</f>
        <v>7.6398239943832873E-4</v>
      </c>
    </row>
    <row r="23" spans="1:2" x14ac:dyDescent="0.3">
      <c r="A23" s="5">
        <v>6.4999999999999997E-3</v>
      </c>
      <c r="B23" s="5">
        <f t="shared" si="0"/>
        <v>-2.594499019035479E-3</v>
      </c>
    </row>
    <row r="32" spans="1:2" x14ac:dyDescent="0.3">
      <c r="A32" s="20" t="s">
        <v>79</v>
      </c>
    </row>
    <row r="33" spans="1:15" x14ac:dyDescent="0.3">
      <c r="A33" s="49" t="s">
        <v>80</v>
      </c>
      <c r="B33" s="49"/>
      <c r="C33" s="49"/>
    </row>
    <row r="34" spans="1:15" x14ac:dyDescent="0.3">
      <c r="A34" s="5" t="s">
        <v>74</v>
      </c>
      <c r="B34" s="5" t="s">
        <v>75</v>
      </c>
      <c r="C34" s="5" t="s">
        <v>81</v>
      </c>
      <c r="I34">
        <v>0</v>
      </c>
      <c r="J34">
        <v>0</v>
      </c>
      <c r="K34">
        <v>0</v>
      </c>
      <c r="L34">
        <v>0</v>
      </c>
      <c r="M34">
        <v>1</v>
      </c>
      <c r="N34">
        <v>1.840856231978777E-3</v>
      </c>
      <c r="O34">
        <v>9.6230142228492799E-3</v>
      </c>
    </row>
    <row r="35" spans="1:15" x14ac:dyDescent="0.3">
      <c r="A35" s="24">
        <v>0</v>
      </c>
      <c r="B35" s="5">
        <v>1.374615E-3</v>
      </c>
      <c r="C35" s="5"/>
      <c r="I35">
        <v>0.1</v>
      </c>
      <c r="J35">
        <v>0</v>
      </c>
      <c r="K35">
        <v>0</v>
      </c>
      <c r="L35">
        <v>0</v>
      </c>
      <c r="M35">
        <v>0.9</v>
      </c>
      <c r="N35" s="18">
        <v>1.5093826409697171E-3</v>
      </c>
      <c r="O35">
        <v>8.6648881528199381E-3</v>
      </c>
    </row>
    <row r="36" spans="1:15" x14ac:dyDescent="0.3">
      <c r="A36" s="5">
        <v>1.840856231978777E-3</v>
      </c>
      <c r="B36" s="5">
        <v>9.6230142228492799E-3</v>
      </c>
      <c r="C36" s="24">
        <f>(B36-$B$35)/(A36-$A$35)</f>
        <v>4.4807405812364252</v>
      </c>
    </row>
    <row r="37" spans="1:15" x14ac:dyDescent="0.3">
      <c r="A37" s="24">
        <v>1.5093826409697171E-3</v>
      </c>
      <c r="B37" s="5">
        <v>8.6648881528199381E-3</v>
      </c>
      <c r="C37" s="25">
        <f>(B37-$B$35)/(A37-$A$35)</f>
        <v>4.8299701844564966</v>
      </c>
      <c r="D37" t="s">
        <v>82</v>
      </c>
    </row>
    <row r="39" spans="1:15" x14ac:dyDescent="0.3">
      <c r="A39" s="49" t="s">
        <v>77</v>
      </c>
      <c r="B39" s="49"/>
    </row>
    <row r="40" spans="1:15" x14ac:dyDescent="0.3">
      <c r="A40" s="35" t="s">
        <v>87</v>
      </c>
      <c r="B40" s="35"/>
    </row>
    <row r="42" spans="1:15" x14ac:dyDescent="0.3">
      <c r="A42" s="49" t="s">
        <v>78</v>
      </c>
      <c r="B42" s="49"/>
    </row>
    <row r="43" spans="1:15" x14ac:dyDescent="0.3">
      <c r="A43" s="5" t="s">
        <v>74</v>
      </c>
      <c r="B43" s="5" t="s">
        <v>75</v>
      </c>
    </row>
    <row r="44" spans="1:15" x14ac:dyDescent="0.3">
      <c r="A44" s="5">
        <v>0</v>
      </c>
      <c r="B44" s="5">
        <f>$B$2+$C$37*A44</f>
        <v>1.3746153846153847E-3</v>
      </c>
    </row>
    <row r="45" spans="1:15" x14ac:dyDescent="0.3">
      <c r="A45" s="5">
        <v>5.0000000000000001E-4</v>
      </c>
      <c r="B45" s="5">
        <f t="shared" ref="B45:B49" si="1">$B$2+$C$37*A45</f>
        <v>3.7896004768436329E-3</v>
      </c>
    </row>
    <row r="46" spans="1:15" x14ac:dyDescent="0.3">
      <c r="A46" s="24">
        <v>1E-3</v>
      </c>
      <c r="B46" s="5">
        <f t="shared" si="1"/>
        <v>6.2045855690718811E-3</v>
      </c>
    </row>
    <row r="47" spans="1:15" x14ac:dyDescent="0.3">
      <c r="A47" s="5">
        <v>1.5E-3</v>
      </c>
      <c r="B47" s="5">
        <f t="shared" si="1"/>
        <v>8.6195706613001292E-3</v>
      </c>
    </row>
    <row r="48" spans="1:15" x14ac:dyDescent="0.3">
      <c r="A48" s="5">
        <v>5.0000000000000001E-3</v>
      </c>
      <c r="B48" s="5">
        <f t="shared" si="1"/>
        <v>2.5524466306897867E-2</v>
      </c>
    </row>
    <row r="49" spans="1:3" x14ac:dyDescent="0.3">
      <c r="A49" s="5">
        <v>6.4999999999999997E-3</v>
      </c>
      <c r="B49" s="5">
        <f t="shared" si="1"/>
        <v>3.2769421583582613E-2</v>
      </c>
    </row>
    <row r="59" spans="1:3" x14ac:dyDescent="0.3">
      <c r="A59" s="20" t="s">
        <v>83</v>
      </c>
    </row>
    <row r="60" spans="1:3" x14ac:dyDescent="0.3">
      <c r="A60" s="49" t="s">
        <v>73</v>
      </c>
      <c r="B60" s="49"/>
      <c r="C60" s="49"/>
    </row>
    <row r="61" spans="1:3" x14ac:dyDescent="0.3">
      <c r="A61" s="5" t="s">
        <v>84</v>
      </c>
      <c r="B61" s="5" t="s">
        <v>75</v>
      </c>
      <c r="C61" s="5" t="s">
        <v>85</v>
      </c>
    </row>
    <row r="62" spans="1:3" x14ac:dyDescent="0.3">
      <c r="A62" s="5">
        <v>0</v>
      </c>
      <c r="B62" s="5">
        <f>$B$2+$C$36*A62</f>
        <v>1.3746153846153847E-3</v>
      </c>
      <c r="C62" s="5"/>
    </row>
    <row r="63" spans="1:3" x14ac:dyDescent="0.3">
      <c r="A63" s="5">
        <v>1</v>
      </c>
      <c r="B63" s="5">
        <v>8.6648881528199381E-3</v>
      </c>
      <c r="C63" s="5">
        <f>(B63-B62)/(A63-A62)</f>
        <v>7.2902727682045533E-3</v>
      </c>
    </row>
    <row r="65" spans="1:2" x14ac:dyDescent="0.3">
      <c r="A65" s="49" t="s">
        <v>77</v>
      </c>
      <c r="B65" s="49"/>
    </row>
    <row r="66" spans="1:2" x14ac:dyDescent="0.3">
      <c r="A66" s="35" t="s">
        <v>88</v>
      </c>
      <c r="B66" s="35"/>
    </row>
    <row r="68" spans="1:2" x14ac:dyDescent="0.3">
      <c r="A68" s="49" t="s">
        <v>78</v>
      </c>
      <c r="B68" s="49"/>
    </row>
    <row r="69" spans="1:2" x14ac:dyDescent="0.3">
      <c r="A69" s="5" t="s">
        <v>84</v>
      </c>
      <c r="B69" s="5" t="s">
        <v>75</v>
      </c>
    </row>
    <row r="70" spans="1:2" x14ac:dyDescent="0.3">
      <c r="A70" s="5">
        <v>0</v>
      </c>
      <c r="B70" s="5">
        <f>$B$2+$C$63*A70</f>
        <v>1.3746153846153847E-3</v>
      </c>
    </row>
    <row r="71" spans="1:2" x14ac:dyDescent="0.3">
      <c r="A71" s="5">
        <v>0.5</v>
      </c>
      <c r="B71" s="5">
        <f t="shared" ref="B71:B74" si="2">$B$2+$C$63*A71</f>
        <v>5.0197517687176618E-3</v>
      </c>
    </row>
    <row r="72" spans="1:2" x14ac:dyDescent="0.3">
      <c r="A72" s="24">
        <v>1</v>
      </c>
      <c r="B72" s="5">
        <f t="shared" si="2"/>
        <v>8.6648881528199381E-3</v>
      </c>
    </row>
    <row r="73" spans="1:2" x14ac:dyDescent="0.3">
      <c r="A73" s="5">
        <v>1.5</v>
      </c>
      <c r="B73" s="5">
        <f t="shared" si="2"/>
        <v>1.2310024536922214E-2</v>
      </c>
    </row>
    <row r="74" spans="1:2" x14ac:dyDescent="0.3">
      <c r="A74" s="5">
        <v>2</v>
      </c>
      <c r="B74" s="5">
        <f t="shared" si="2"/>
        <v>1.5955160921024492E-2</v>
      </c>
    </row>
  </sheetData>
  <mergeCells count="13">
    <mergeCell ref="A33:C33"/>
    <mergeCell ref="A5:B5"/>
    <mergeCell ref="A9:C9"/>
    <mergeCell ref="A14:B14"/>
    <mergeCell ref="A15:B15"/>
    <mergeCell ref="A17:B17"/>
    <mergeCell ref="A68:B68"/>
    <mergeCell ref="A39:B39"/>
    <mergeCell ref="A40:B40"/>
    <mergeCell ref="A42:B42"/>
    <mergeCell ref="A60:C60"/>
    <mergeCell ref="A65:B65"/>
    <mergeCell ref="A66:B6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0D6680-EDB1-40AA-B35A-BEA748046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Apple</vt:lpstr>
      <vt:lpstr>Tesla</vt:lpstr>
      <vt:lpstr>Nike</vt:lpstr>
      <vt:lpstr>Walmart</vt:lpstr>
      <vt:lpstr>Exxon</vt:lpstr>
      <vt:lpstr>Portfolio</vt:lpstr>
      <vt:lpstr>MVF</vt:lpstr>
      <vt:lpstr>CAL CML SML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Fontaine</dc:creator>
  <cp:lastModifiedBy>Jeremy Fontaine</cp:lastModifiedBy>
  <dcterms:created xsi:type="dcterms:W3CDTF">2023-10-10T09:16:55Z</dcterms:created>
  <dcterms:modified xsi:type="dcterms:W3CDTF">2025-01-22T10:08:47Z</dcterms:modified>
</cp:coreProperties>
</file>